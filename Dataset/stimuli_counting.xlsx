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y/Desktop/Modeling/SubInPhon/Seq2SeqModel/Dataset/"/>
    </mc:Choice>
  </mc:AlternateContent>
  <xr:revisionPtr revIDLastSave="0" documentId="13_ncr:1_{EDDABFA2-89EB-FB4D-93F7-346DBCC592A3}" xr6:coauthVersionLast="47" xr6:coauthVersionMax="47" xr10:uidLastSave="{00000000-0000-0000-0000-000000000000}"/>
  <bookViews>
    <workbookView xWindow="4440" yWindow="740" windowWidth="24960" windowHeight="15980" xr2:uid="{365D76DA-B6A5-5443-BBA8-94D6013D0945}"/>
  </bookViews>
  <sheets>
    <sheet name="English" sheetId="1" r:id="rId1"/>
    <sheet name="Cantone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6" i="1"/>
  <c r="E7" i="2"/>
  <c r="E8" i="2" s="1"/>
  <c r="E1" i="2"/>
  <c r="E2" i="2" s="1"/>
  <c r="E3" i="2" s="1"/>
  <c r="E4" i="2" s="1"/>
  <c r="E5" i="2" s="1"/>
  <c r="E8" i="1"/>
  <c r="E9" i="1" s="1"/>
  <c r="E10" i="1" s="1"/>
  <c r="E11" i="1" s="1"/>
  <c r="E6" i="2" l="1"/>
  <c r="E12" i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</calcChain>
</file>

<file path=xl/sharedStrings.xml><?xml version="1.0" encoding="utf-8"?>
<sst xmlns="http://schemas.openxmlformats.org/spreadsheetml/2006/main" count="42" uniqueCount="34">
  <si>
    <t>V-CV</t>
  </si>
  <si>
    <t>V-CVC</t>
  </si>
  <si>
    <t>CV-CV</t>
  </si>
  <si>
    <t>CV-CVC</t>
  </si>
  <si>
    <t>VC-V</t>
  </si>
  <si>
    <t>VC-VC</t>
  </si>
  <si>
    <t>CVC-V</t>
  </si>
  <si>
    <t>CVC-VC</t>
  </si>
  <si>
    <t>V.CV-CV</t>
  </si>
  <si>
    <t>V.CV-CVC</t>
  </si>
  <si>
    <t>CV.CV-CV</t>
  </si>
  <si>
    <t>CV.CV-CVC</t>
  </si>
  <si>
    <t>VC.V-CV</t>
  </si>
  <si>
    <t>VC.V-CVC</t>
  </si>
  <si>
    <t>CVC.V-CV</t>
  </si>
  <si>
    <t>CVC.V-CVC</t>
  </si>
  <si>
    <t>V.CVC-V</t>
  </si>
  <si>
    <t>CV.CVC-VC</t>
  </si>
  <si>
    <t>CV.CVC-V</t>
  </si>
  <si>
    <t>V.CVC-VC</t>
  </si>
  <si>
    <t>VC.VC-V</t>
  </si>
  <si>
    <t>VC.VC-VC</t>
  </si>
  <si>
    <t>CVC.VC-V</t>
  </si>
  <si>
    <t>CVC.VC-VC</t>
  </si>
  <si>
    <t>V</t>
  </si>
  <si>
    <t>2 front open</t>
  </si>
  <si>
    <t>2 front closed</t>
  </si>
  <si>
    <t>2 back open</t>
  </si>
  <si>
    <t>2 back closed</t>
  </si>
  <si>
    <t>onset C</t>
  </si>
  <si>
    <t>coda C</t>
  </si>
  <si>
    <t>CV</t>
  </si>
  <si>
    <t>VC</t>
  </si>
  <si>
    <t>CVC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</si>
</sst>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1332D-0DA7-5B45-ADA1-5038D3A68A93}">
  <dimension ref="A1:E31"/>
  <sheetViews>
    <sheetView tabSelected="1" zoomScale="150" workbookViewId="0">
      <selection activeCell="E7" sqref="E7"/>
    </sheetView>
  </sheetViews>
  <sheetFormatPr baseColWidth="10" defaultRowHeight="16" x14ac:dyDescent="0.2"/>
  <sheetData>
    <row r="1" spans="1:5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">
      <c r="A2" t="s">
        <v>29</v>
      </c>
      <c r="B2">
        <v>17</v>
      </c>
    </row>
    <row r="3" spans="1:5" x14ac:dyDescent="0.2">
      <c r="A3" t="s">
        <v>30</v>
      </c>
      <c r="B3">
        <v>17</v>
      </c>
    </row>
    <row r="4" spans="1:5" x14ac:dyDescent="0.2">
      <c r="A4" t="s">
        <v>31</v>
      </c>
      <c r="B4">
        <f>2*17</f>
        <v>34</v>
      </c>
    </row>
    <row r="5" spans="1:5" x14ac:dyDescent="0.2">
      <c r="A5" t="s">
        <v>32</v>
      </c>
      <c r="B5">
        <f>2*17</f>
        <v>34</v>
      </c>
    </row>
    <row r="6" spans="1:5" x14ac:dyDescent="0.2">
      <c r="A6" t="s">
        <v>33</v>
      </c>
      <c r="B6">
        <f>17*2*17</f>
        <v>578</v>
      </c>
    </row>
    <row r="8" spans="1:5" x14ac:dyDescent="0.2">
      <c r="A8" s="1" t="s">
        <v>0</v>
      </c>
      <c r="B8" s="1">
        <v>2</v>
      </c>
      <c r="C8" s="1">
        <v>34</v>
      </c>
      <c r="D8" s="1">
        <v>1</v>
      </c>
      <c r="E8" s="1">
        <f>B8*C8*D8*4</f>
        <v>272</v>
      </c>
    </row>
    <row r="9" spans="1:5" x14ac:dyDescent="0.2">
      <c r="A9" s="1" t="s">
        <v>1</v>
      </c>
      <c r="B9" s="1">
        <v>2</v>
      </c>
      <c r="C9" s="1">
        <v>578</v>
      </c>
      <c r="D9" s="1">
        <v>1</v>
      </c>
      <c r="E9" s="1">
        <f>B9*C9*D9*4+E8</f>
        <v>4896</v>
      </c>
    </row>
    <row r="10" spans="1:5" x14ac:dyDescent="0.2">
      <c r="A10" s="1" t="s">
        <v>2</v>
      </c>
      <c r="B10" s="1">
        <v>34</v>
      </c>
      <c r="C10" s="1">
        <v>34</v>
      </c>
      <c r="D10" s="1">
        <v>1</v>
      </c>
      <c r="E10" s="1">
        <f>B10*C10*D10*4+E9</f>
        <v>9520</v>
      </c>
    </row>
    <row r="11" spans="1:5" x14ac:dyDescent="0.2">
      <c r="A11" s="1" t="s">
        <v>3</v>
      </c>
      <c r="B11" s="1">
        <v>34</v>
      </c>
      <c r="C11" s="1">
        <v>578</v>
      </c>
      <c r="D11" s="1">
        <v>1</v>
      </c>
      <c r="E11" s="1">
        <f>B11*C11*D11*4+E10</f>
        <v>88128</v>
      </c>
    </row>
    <row r="12" spans="1:5" x14ac:dyDescent="0.2">
      <c r="A12" s="1" t="s">
        <v>4</v>
      </c>
      <c r="B12" s="1">
        <v>34</v>
      </c>
      <c r="C12" s="1">
        <v>2</v>
      </c>
      <c r="D12" s="1">
        <v>1</v>
      </c>
      <c r="E12" s="1">
        <f t="shared" ref="E12:E15" si="0">B12*C12*D12*4+E11</f>
        <v>88400</v>
      </c>
    </row>
    <row r="13" spans="1:5" x14ac:dyDescent="0.2">
      <c r="A13" s="1" t="s">
        <v>5</v>
      </c>
      <c r="B13" s="1">
        <v>34</v>
      </c>
      <c r="C13" s="1">
        <v>34</v>
      </c>
      <c r="D13" s="1">
        <v>1</v>
      </c>
      <c r="E13" s="1">
        <f t="shared" si="0"/>
        <v>93024</v>
      </c>
    </row>
    <row r="14" spans="1:5" x14ac:dyDescent="0.2">
      <c r="A14" s="1" t="s">
        <v>6</v>
      </c>
      <c r="B14" s="1">
        <v>578</v>
      </c>
      <c r="C14" s="1">
        <v>2</v>
      </c>
      <c r="D14" s="1">
        <v>1</v>
      </c>
      <c r="E14" s="1">
        <f t="shared" si="0"/>
        <v>97648</v>
      </c>
    </row>
    <row r="15" spans="1:5" x14ac:dyDescent="0.2">
      <c r="A15" s="1" t="s">
        <v>7</v>
      </c>
      <c r="B15" s="1">
        <v>578</v>
      </c>
      <c r="C15" s="1">
        <v>34</v>
      </c>
      <c r="D15" s="1">
        <v>1</v>
      </c>
      <c r="E15" s="1">
        <f t="shared" si="0"/>
        <v>176256</v>
      </c>
    </row>
    <row r="16" spans="1:5" x14ac:dyDescent="0.2">
      <c r="A16" t="s">
        <v>8</v>
      </c>
      <c r="B16">
        <v>2</v>
      </c>
      <c r="C16">
        <v>34</v>
      </c>
      <c r="D16">
        <v>34</v>
      </c>
      <c r="E16">
        <f>B16*C16*D16*8+E15</f>
        <v>194752</v>
      </c>
    </row>
    <row r="17" spans="1:5" x14ac:dyDescent="0.2">
      <c r="A17" t="s">
        <v>9</v>
      </c>
      <c r="B17">
        <v>2</v>
      </c>
      <c r="C17">
        <v>34</v>
      </c>
      <c r="D17">
        <v>578</v>
      </c>
      <c r="E17">
        <f t="shared" ref="E17:E31" si="1">B17*C17*D17*8+E16</f>
        <v>509184</v>
      </c>
    </row>
    <row r="18" spans="1:5" x14ac:dyDescent="0.2">
      <c r="A18" t="s">
        <v>16</v>
      </c>
      <c r="B18">
        <v>2</v>
      </c>
      <c r="C18">
        <v>578</v>
      </c>
      <c r="D18">
        <v>2</v>
      </c>
      <c r="E18">
        <f t="shared" si="1"/>
        <v>527680</v>
      </c>
    </row>
    <row r="19" spans="1:5" x14ac:dyDescent="0.2">
      <c r="A19" t="s">
        <v>19</v>
      </c>
      <c r="B19">
        <v>2</v>
      </c>
      <c r="C19">
        <v>578</v>
      </c>
      <c r="D19">
        <v>34</v>
      </c>
      <c r="E19">
        <f t="shared" si="1"/>
        <v>842112</v>
      </c>
    </row>
    <row r="20" spans="1:5" x14ac:dyDescent="0.2">
      <c r="A20" t="s">
        <v>10</v>
      </c>
      <c r="B20">
        <v>34</v>
      </c>
      <c r="C20">
        <v>34</v>
      </c>
      <c r="D20">
        <v>34</v>
      </c>
      <c r="E20">
        <f t="shared" si="1"/>
        <v>1156544</v>
      </c>
    </row>
    <row r="21" spans="1:5" x14ac:dyDescent="0.2">
      <c r="A21" t="s">
        <v>11</v>
      </c>
      <c r="B21">
        <v>34</v>
      </c>
      <c r="C21">
        <v>34</v>
      </c>
      <c r="D21">
        <v>578</v>
      </c>
      <c r="E21">
        <f t="shared" si="1"/>
        <v>6501888</v>
      </c>
    </row>
    <row r="22" spans="1:5" x14ac:dyDescent="0.2">
      <c r="A22" t="s">
        <v>18</v>
      </c>
      <c r="B22">
        <v>34</v>
      </c>
      <c r="C22">
        <v>578</v>
      </c>
      <c r="D22">
        <v>2</v>
      </c>
      <c r="E22">
        <f t="shared" si="1"/>
        <v>6816320</v>
      </c>
    </row>
    <row r="23" spans="1:5" x14ac:dyDescent="0.2">
      <c r="A23" t="s">
        <v>17</v>
      </c>
      <c r="B23">
        <v>34</v>
      </c>
      <c r="C23">
        <v>578</v>
      </c>
      <c r="D23">
        <v>34</v>
      </c>
      <c r="E23">
        <f t="shared" si="1"/>
        <v>12161664</v>
      </c>
    </row>
    <row r="24" spans="1:5" x14ac:dyDescent="0.2">
      <c r="A24" t="s">
        <v>12</v>
      </c>
      <c r="B24">
        <v>34</v>
      </c>
      <c r="C24">
        <v>2</v>
      </c>
      <c r="D24">
        <v>34</v>
      </c>
      <c r="E24">
        <f t="shared" si="1"/>
        <v>12180160</v>
      </c>
    </row>
    <row r="25" spans="1:5" x14ac:dyDescent="0.2">
      <c r="A25" t="s">
        <v>13</v>
      </c>
      <c r="B25">
        <v>34</v>
      </c>
      <c r="C25">
        <v>2</v>
      </c>
      <c r="D25">
        <v>578</v>
      </c>
      <c r="E25">
        <f t="shared" si="1"/>
        <v>12494592</v>
      </c>
    </row>
    <row r="26" spans="1:5" x14ac:dyDescent="0.2">
      <c r="A26" t="s">
        <v>20</v>
      </c>
      <c r="B26">
        <v>34</v>
      </c>
      <c r="C26">
        <v>34</v>
      </c>
      <c r="D26">
        <v>2</v>
      </c>
      <c r="E26">
        <f t="shared" si="1"/>
        <v>12513088</v>
      </c>
    </row>
    <row r="27" spans="1:5" x14ac:dyDescent="0.2">
      <c r="A27" t="s">
        <v>21</v>
      </c>
      <c r="B27">
        <v>34</v>
      </c>
      <c r="C27">
        <v>34</v>
      </c>
      <c r="D27">
        <v>34</v>
      </c>
      <c r="E27">
        <f t="shared" si="1"/>
        <v>12827520</v>
      </c>
    </row>
    <row r="28" spans="1:5" x14ac:dyDescent="0.2">
      <c r="A28" t="s">
        <v>14</v>
      </c>
      <c r="B28">
        <v>578</v>
      </c>
      <c r="C28">
        <v>2</v>
      </c>
      <c r="D28">
        <v>34</v>
      </c>
      <c r="E28">
        <f t="shared" si="1"/>
        <v>13141952</v>
      </c>
    </row>
    <row r="29" spans="1:5" x14ac:dyDescent="0.2">
      <c r="A29" t="s">
        <v>15</v>
      </c>
      <c r="B29">
        <v>578</v>
      </c>
      <c r="C29">
        <v>2</v>
      </c>
      <c r="D29">
        <v>578</v>
      </c>
      <c r="E29">
        <f t="shared" si="1"/>
        <v>18487296</v>
      </c>
    </row>
    <row r="30" spans="1:5" x14ac:dyDescent="0.2">
      <c r="A30" t="s">
        <v>22</v>
      </c>
      <c r="B30">
        <v>578</v>
      </c>
      <c r="C30">
        <v>34</v>
      </c>
      <c r="D30">
        <v>2</v>
      </c>
      <c r="E30">
        <f t="shared" si="1"/>
        <v>18801728</v>
      </c>
    </row>
    <row r="31" spans="1:5" x14ac:dyDescent="0.2">
      <c r="A31" t="s">
        <v>23</v>
      </c>
      <c r="B31">
        <v>578</v>
      </c>
      <c r="C31">
        <v>34</v>
      </c>
      <c r="D31">
        <v>34</v>
      </c>
      <c r="E31">
        <f t="shared" si="1"/>
        <v>24147072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F9FE-FDE3-3847-837A-D6395835C688}">
  <dimension ref="A1:E8"/>
  <sheetViews>
    <sheetView zoomScale="166" workbookViewId="0">
      <selection activeCell="E8" sqref="E8"/>
    </sheetView>
  </sheetViews>
  <sheetFormatPr baseColWidth="10" defaultRowHeight="16" x14ac:dyDescent="0.2"/>
  <sheetData>
    <row r="1" spans="1:5" x14ac:dyDescent="0.2">
      <c r="A1" t="s">
        <v>0</v>
      </c>
      <c r="B1">
        <v>2</v>
      </c>
      <c r="C1">
        <v>28</v>
      </c>
      <c r="D1">
        <v>1</v>
      </c>
      <c r="E1">
        <f>B1*C1*D1*4</f>
        <v>224</v>
      </c>
    </row>
    <row r="2" spans="1:5" x14ac:dyDescent="0.2">
      <c r="A2" t="s">
        <v>1</v>
      </c>
      <c r="B2">
        <v>2</v>
      </c>
      <c r="C2">
        <v>168</v>
      </c>
      <c r="D2">
        <v>1</v>
      </c>
      <c r="E2">
        <f>B2*C2*D2*4+E1</f>
        <v>1568</v>
      </c>
    </row>
    <row r="3" spans="1:5" x14ac:dyDescent="0.2">
      <c r="A3" t="s">
        <v>2</v>
      </c>
      <c r="B3">
        <v>28</v>
      </c>
      <c r="C3">
        <v>28</v>
      </c>
      <c r="D3">
        <v>1</v>
      </c>
      <c r="E3">
        <f>B3*C3*D3*4+E2</f>
        <v>4704</v>
      </c>
    </row>
    <row r="4" spans="1:5" x14ac:dyDescent="0.2">
      <c r="A4" t="s">
        <v>3</v>
      </c>
      <c r="B4">
        <v>28</v>
      </c>
      <c r="C4">
        <v>168</v>
      </c>
      <c r="D4">
        <v>1</v>
      </c>
      <c r="E4">
        <f>B4*C4*D4*4+E3</f>
        <v>23520</v>
      </c>
    </row>
    <row r="5" spans="1:5" x14ac:dyDescent="0.2">
      <c r="A5" t="s">
        <v>8</v>
      </c>
      <c r="B5">
        <v>2</v>
      </c>
      <c r="C5">
        <v>28</v>
      </c>
      <c r="D5">
        <v>28</v>
      </c>
      <c r="E5">
        <f>B5*C5*D5*8+E4</f>
        <v>36064</v>
      </c>
    </row>
    <row r="6" spans="1:5" x14ac:dyDescent="0.2">
      <c r="A6" t="s">
        <v>9</v>
      </c>
      <c r="B6">
        <v>2</v>
      </c>
      <c r="C6">
        <v>28</v>
      </c>
      <c r="D6">
        <v>168</v>
      </c>
      <c r="E6">
        <f>B6*C6*D6*8+E5</f>
        <v>111328</v>
      </c>
    </row>
    <row r="7" spans="1:5" x14ac:dyDescent="0.2">
      <c r="A7" t="s">
        <v>10</v>
      </c>
      <c r="B7">
        <v>28</v>
      </c>
      <c r="C7">
        <v>28</v>
      </c>
      <c r="D7">
        <v>28</v>
      </c>
      <c r="E7">
        <f t="shared" ref="E7:E8" si="0">B7*C7*D7*8+E6</f>
        <v>286944</v>
      </c>
    </row>
    <row r="8" spans="1:5" x14ac:dyDescent="0.2">
      <c r="A8" t="s">
        <v>11</v>
      </c>
      <c r="B8">
        <v>28</v>
      </c>
      <c r="C8">
        <v>28</v>
      </c>
      <c r="D8">
        <v>168</v>
      </c>
      <c r="E8">
        <f t="shared" si="0"/>
        <v>1340640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English</vt:lpstr>
      <vt:lpstr>Cantonese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Zheng</dc:creator>
  <cp:lastModifiedBy>Ivy Zheng</cp:lastModifiedBy>
  <dcterms:created xsi:type="dcterms:W3CDTF">2025-02-24T06:16:06Z</dcterms:created>
  <dcterms:modified xsi:type="dcterms:W3CDTF">2025-02-28T07:19:04Z</dcterms:modified>
</cp:coreProperties>
</file>