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y/Desktop/Modeling/SubtanceInPhonology/SubInPhon.nosync/Dataset/"/>
    </mc:Choice>
  </mc:AlternateContent>
  <xr:revisionPtr revIDLastSave="0" documentId="13_ncr:1_{C792D7C4-E62B-E949-8037-3BCAB02A5291}" xr6:coauthVersionLast="47" xr6:coauthVersionMax="47" xr10:uidLastSave="{00000000-0000-0000-0000-000000000000}"/>
  <bookViews>
    <workbookView xWindow="4440" yWindow="740" windowWidth="24960" windowHeight="17920" tabRatio="500" xr2:uid="{00000000-000D-0000-FFFF-FFFF00000000}"/>
  </bookViews>
  <sheets>
    <sheet name="EnglishBH" sheetId="1" r:id="rId1"/>
    <sheet name="EnglishFD" sheetId="2" r:id="rId2"/>
    <sheet name="CantoneseBH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1" l="1"/>
  <c r="E11" i="1"/>
  <c r="E14" i="1"/>
  <c r="E16" i="1"/>
  <c r="E18" i="1"/>
  <c r="E19" i="1"/>
  <c r="E20" i="1"/>
  <c r="E7" i="1"/>
  <c r="E1" i="3"/>
  <c r="E2" i="3" s="1"/>
  <c r="E3" i="3" s="1"/>
  <c r="E4" i="3" s="1"/>
  <c r="E5" i="3" s="1"/>
  <c r="E6" i="3" s="1"/>
  <c r="E7" i="3" s="1"/>
  <c r="E8" i="3" s="1"/>
  <c r="G3" i="2"/>
  <c r="G4" i="2" s="1"/>
  <c r="G5" i="2" s="1"/>
  <c r="G6" i="2" s="1"/>
  <c r="C19" i="1"/>
  <c r="B19" i="1"/>
  <c r="B17" i="1"/>
  <c r="E17" i="1" s="1"/>
  <c r="C15" i="1"/>
  <c r="B15" i="1"/>
  <c r="B13" i="1"/>
  <c r="E13" i="1" s="1"/>
  <c r="C12" i="1"/>
  <c r="B12" i="1"/>
  <c r="C10" i="1"/>
  <c r="B10" i="1"/>
  <c r="C8" i="1"/>
  <c r="E8" i="1" s="1"/>
  <c r="C6" i="1"/>
  <c r="E6" i="1" s="1"/>
  <c r="D4" i="1"/>
  <c r="C4" i="1"/>
  <c r="B4" i="1"/>
  <c r="E3" i="1"/>
  <c r="D3" i="1"/>
  <c r="C3" i="1"/>
  <c r="B3" i="1"/>
  <c r="E2" i="1"/>
  <c r="D2" i="1"/>
  <c r="C2" i="1"/>
  <c r="B2" i="1"/>
  <c r="E15" i="1" l="1"/>
  <c r="E10" i="1"/>
  <c r="E12" i="1"/>
  <c r="J7" i="1"/>
  <c r="J6" i="1"/>
</calcChain>
</file>

<file path=xl/sharedStrings.xml><?xml version="1.0" encoding="utf-8"?>
<sst xmlns="http://schemas.openxmlformats.org/spreadsheetml/2006/main" count="63" uniqueCount="52">
  <si>
    <t>V</t>
  </si>
  <si>
    <t>2 front open</t>
  </si>
  <si>
    <t>2 front closed</t>
  </si>
  <si>
    <t>2 back open</t>
  </si>
  <si>
    <t>2 back closed</t>
  </si>
  <si>
    <t>C</t>
  </si>
  <si>
    <t>17 onset</t>
  </si>
  <si>
    <t>17 coda</t>
  </si>
  <si>
    <t>CV</t>
  </si>
  <si>
    <t>VC</t>
  </si>
  <si>
    <t>CVC</t>
  </si>
  <si>
    <t>s1</t>
  </si>
  <si>
    <t>s2</t>
  </si>
  <si>
    <t>s3</t>
  </si>
  <si>
    <t>total</t>
  </si>
  <si>
    <t>V-CV</t>
  </si>
  <si>
    <t>V-CVC</t>
  </si>
  <si>
    <t>CV-CV</t>
  </si>
  <si>
    <t>CV-CVC</t>
  </si>
  <si>
    <t>VC-V</t>
  </si>
  <si>
    <t>VC-VC</t>
  </si>
  <si>
    <t>CVC-V</t>
  </si>
  <si>
    <t>CVC-VC</t>
  </si>
  <si>
    <t>V.CV-CV</t>
  </si>
  <si>
    <t>V.CV-CVC</t>
  </si>
  <si>
    <t>CV.CV-CV</t>
  </si>
  <si>
    <t>CV.CV-CVC</t>
  </si>
  <si>
    <t>8 vowel</t>
  </si>
  <si>
    <t>14 onset</t>
  </si>
  <si>
    <t>7 voiceless coda</t>
  </si>
  <si>
    <t>7 voiced coda</t>
  </si>
  <si>
    <t>s4</t>
  </si>
  <si>
    <t>s5</t>
  </si>
  <si>
    <t>VCVC</t>
  </si>
  <si>
    <t>CVCVC</t>
  </si>
  <si>
    <t>V-VC</t>
  </si>
  <si>
    <t>CV-V</t>
  </si>
  <si>
    <t>CV-VC</t>
  </si>
  <si>
    <t>VC-CV</t>
  </si>
  <si>
    <t>VC-CVC</t>
  </si>
  <si>
    <t>CVC-CVC</t>
  </si>
  <si>
    <t>CVC-CV</t>
  </si>
  <si>
    <t>count</t>
  </si>
  <si>
    <t>full version</t>
  </si>
  <si>
    <t>shortened version</t>
  </si>
  <si>
    <t>expanded version</t>
  </si>
  <si>
    <t>V-V-CV</t>
  </si>
  <si>
    <t>V-V-VC</t>
  </si>
  <si>
    <t>V-V-CVC</t>
  </si>
  <si>
    <t>V-CV-V</t>
  </si>
  <si>
    <t>V-CV-CV</t>
  </si>
  <si>
    <t>V-CV-VC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</si>
</sst>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abSelected="1" topLeftCell="A19" zoomScale="119" zoomScaleNormal="63" workbookViewId="0">
      <selection activeCell="D34" sqref="D34"/>
    </sheetView>
  </sheetViews>
  <sheetFormatPr baseColWidth="10" defaultColWidth="10.5" defaultRowHeight="16" x14ac:dyDescent="0.2"/>
  <cols>
    <col min="3" max="3" width="10.83203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 x14ac:dyDescent="0.2">
      <c r="A2" s="1" t="s">
        <v>8</v>
      </c>
      <c r="B2" s="1">
        <f t="shared" ref="B2:E3" si="0">2*17</f>
        <v>34</v>
      </c>
      <c r="C2" s="1">
        <f t="shared" si="0"/>
        <v>34</v>
      </c>
      <c r="D2" s="1">
        <f t="shared" si="0"/>
        <v>34</v>
      </c>
      <c r="E2" s="1">
        <f t="shared" si="0"/>
        <v>34</v>
      </c>
    </row>
    <row r="3" spans="1:10" x14ac:dyDescent="0.2">
      <c r="A3" s="1" t="s">
        <v>9</v>
      </c>
      <c r="B3" s="1">
        <f t="shared" si="0"/>
        <v>34</v>
      </c>
      <c r="C3" s="1">
        <f t="shared" si="0"/>
        <v>34</v>
      </c>
      <c r="D3" s="1">
        <f t="shared" si="0"/>
        <v>34</v>
      </c>
      <c r="E3" s="1">
        <f t="shared" si="0"/>
        <v>34</v>
      </c>
    </row>
    <row r="4" spans="1:10" x14ac:dyDescent="0.2">
      <c r="A4" s="1" t="s">
        <v>10</v>
      </c>
      <c r="B4" s="1">
        <f>17*2*17</f>
        <v>578</v>
      </c>
      <c r="C4" s="1">
        <f>17*2*17</f>
        <v>578</v>
      </c>
      <c r="D4" s="1">
        <f>17*2*17</f>
        <v>578</v>
      </c>
      <c r="E4" s="1"/>
    </row>
    <row r="5" spans="1:10" x14ac:dyDescent="0.2">
      <c r="B5" t="s">
        <v>11</v>
      </c>
      <c r="C5" t="s">
        <v>12</v>
      </c>
      <c r="D5" t="s">
        <v>13</v>
      </c>
      <c r="E5" t="s">
        <v>42</v>
      </c>
    </row>
    <row r="6" spans="1:10" x14ac:dyDescent="0.2">
      <c r="A6" t="s">
        <v>15</v>
      </c>
      <c r="B6">
        <v>4</v>
      </c>
      <c r="C6">
        <f>17*4</f>
        <v>68</v>
      </c>
      <c r="D6">
        <v>1</v>
      </c>
      <c r="E6">
        <f>B6*C6*D6</f>
        <v>272</v>
      </c>
      <c r="H6" t="s">
        <v>43</v>
      </c>
      <c r="J6">
        <f>E6+E7+E8+E9+E10+E11+E12+E13+E14+E15+E16+E17+E18+E19+E20</f>
        <v>1679600</v>
      </c>
    </row>
    <row r="7" spans="1:10" x14ac:dyDescent="0.2">
      <c r="A7" t="s">
        <v>35</v>
      </c>
      <c r="B7">
        <v>4</v>
      </c>
      <c r="C7">
        <v>68</v>
      </c>
      <c r="D7">
        <v>1</v>
      </c>
      <c r="E7">
        <f>B7*C7*D7</f>
        <v>272</v>
      </c>
      <c r="H7" t="s">
        <v>44</v>
      </c>
      <c r="J7">
        <f>E6+E8+E10+E13+E15+E17</f>
        <v>19040</v>
      </c>
    </row>
    <row r="8" spans="1:10" x14ac:dyDescent="0.2">
      <c r="A8" t="s">
        <v>16</v>
      </c>
      <c r="B8">
        <v>4</v>
      </c>
      <c r="C8">
        <f>17*4*17</f>
        <v>1156</v>
      </c>
      <c r="D8">
        <v>1</v>
      </c>
      <c r="E8">
        <f t="shared" ref="E8:E43" si="1">B8*C8*D8</f>
        <v>4624</v>
      </c>
      <c r="H8" t="s">
        <v>45</v>
      </c>
    </row>
    <row r="9" spans="1:10" x14ac:dyDescent="0.2">
      <c r="A9" t="s">
        <v>36</v>
      </c>
      <c r="B9">
        <v>68</v>
      </c>
      <c r="C9">
        <v>4</v>
      </c>
      <c r="D9">
        <v>1</v>
      </c>
      <c r="E9">
        <f t="shared" si="1"/>
        <v>272</v>
      </c>
    </row>
    <row r="10" spans="1:10" x14ac:dyDescent="0.2">
      <c r="A10" t="s">
        <v>17</v>
      </c>
      <c r="B10">
        <f>17*4</f>
        <v>68</v>
      </c>
      <c r="C10">
        <f>17*4</f>
        <v>68</v>
      </c>
      <c r="D10">
        <v>1</v>
      </c>
      <c r="E10">
        <f t="shared" si="1"/>
        <v>4624</v>
      </c>
    </row>
    <row r="11" spans="1:10" x14ac:dyDescent="0.2">
      <c r="A11" t="s">
        <v>37</v>
      </c>
      <c r="B11">
        <v>68</v>
      </c>
      <c r="C11">
        <v>68</v>
      </c>
      <c r="D11">
        <v>1</v>
      </c>
      <c r="E11">
        <f t="shared" si="1"/>
        <v>4624</v>
      </c>
    </row>
    <row r="12" spans="1:10" x14ac:dyDescent="0.2">
      <c r="A12" t="s">
        <v>18</v>
      </c>
      <c r="B12">
        <f>17*4</f>
        <v>68</v>
      </c>
      <c r="C12">
        <f>17*4*17</f>
        <v>1156</v>
      </c>
      <c r="D12">
        <v>1</v>
      </c>
      <c r="E12">
        <f t="shared" si="1"/>
        <v>78608</v>
      </c>
    </row>
    <row r="13" spans="1:10" x14ac:dyDescent="0.2">
      <c r="A13" t="s">
        <v>19</v>
      </c>
      <c r="B13">
        <f>17*4</f>
        <v>68</v>
      </c>
      <c r="C13">
        <v>4</v>
      </c>
      <c r="D13">
        <v>1</v>
      </c>
      <c r="E13">
        <f t="shared" si="1"/>
        <v>272</v>
      </c>
    </row>
    <row r="14" spans="1:10" x14ac:dyDescent="0.2">
      <c r="A14" t="s">
        <v>38</v>
      </c>
      <c r="B14">
        <v>68</v>
      </c>
      <c r="C14">
        <v>68</v>
      </c>
      <c r="D14">
        <v>1</v>
      </c>
      <c r="E14">
        <f t="shared" si="1"/>
        <v>4624</v>
      </c>
    </row>
    <row r="15" spans="1:10" x14ac:dyDescent="0.2">
      <c r="A15" t="s">
        <v>20</v>
      </c>
      <c r="B15">
        <f>17*4</f>
        <v>68</v>
      </c>
      <c r="C15">
        <f>17*4</f>
        <v>68</v>
      </c>
      <c r="D15">
        <v>1</v>
      </c>
      <c r="E15">
        <f t="shared" si="1"/>
        <v>4624</v>
      </c>
    </row>
    <row r="16" spans="1:10" x14ac:dyDescent="0.2">
      <c r="A16" t="s">
        <v>39</v>
      </c>
      <c r="B16">
        <v>68</v>
      </c>
      <c r="C16">
        <v>1156</v>
      </c>
      <c r="D16">
        <v>1</v>
      </c>
      <c r="E16">
        <f t="shared" si="1"/>
        <v>78608</v>
      </c>
    </row>
    <row r="17" spans="1:5" x14ac:dyDescent="0.2">
      <c r="A17" t="s">
        <v>21</v>
      </c>
      <c r="B17">
        <f>17*4*17</f>
        <v>1156</v>
      </c>
      <c r="C17">
        <v>4</v>
      </c>
      <c r="D17">
        <v>1</v>
      </c>
      <c r="E17">
        <f t="shared" si="1"/>
        <v>4624</v>
      </c>
    </row>
    <row r="18" spans="1:5" x14ac:dyDescent="0.2">
      <c r="A18" t="s">
        <v>41</v>
      </c>
      <c r="B18">
        <v>1156</v>
      </c>
      <c r="C18">
        <v>68</v>
      </c>
      <c r="D18">
        <v>1</v>
      </c>
      <c r="E18">
        <f t="shared" si="1"/>
        <v>78608</v>
      </c>
    </row>
    <row r="19" spans="1:5" x14ac:dyDescent="0.2">
      <c r="A19" t="s">
        <v>22</v>
      </c>
      <c r="B19">
        <f>17*4*17</f>
        <v>1156</v>
      </c>
      <c r="C19">
        <f>17*4</f>
        <v>68</v>
      </c>
      <c r="D19">
        <v>1</v>
      </c>
      <c r="E19">
        <f t="shared" si="1"/>
        <v>78608</v>
      </c>
    </row>
    <row r="20" spans="1:5" x14ac:dyDescent="0.2">
      <c r="A20" t="s">
        <v>40</v>
      </c>
      <c r="B20">
        <v>1156</v>
      </c>
      <c r="C20">
        <v>1156</v>
      </c>
      <c r="D20">
        <v>1</v>
      </c>
      <c r="E20">
        <f t="shared" si="1"/>
        <v>1336336</v>
      </c>
    </row>
    <row r="22" spans="1:5" x14ac:dyDescent="0.2">
      <c r="A22" t="s">
        <v>46</v>
      </c>
    </row>
    <row r="23" spans="1:5" x14ac:dyDescent="0.2">
      <c r="A23" t="s">
        <v>47</v>
      </c>
    </row>
    <row r="24" spans="1:5" x14ac:dyDescent="0.2">
      <c r="A24" t="s">
        <v>48</v>
      </c>
    </row>
    <row r="25" spans="1:5" x14ac:dyDescent="0.2">
      <c r="A25" t="s">
        <v>49</v>
      </c>
    </row>
    <row r="26" spans="1:5" x14ac:dyDescent="0.2">
      <c r="A26" t="s">
        <v>50</v>
      </c>
    </row>
    <row r="27" spans="1:5" x14ac:dyDescent="0.2">
      <c r="A27" t="s">
        <v>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zoomScale="63" zoomScaleNormal="63" workbookViewId="0">
      <selection activeCell="E12" sqref="E12"/>
    </sheetView>
  </sheetViews>
  <sheetFormatPr baseColWidth="10" defaultColWidth="10.5" defaultRowHeight="16" x14ac:dyDescent="0.2"/>
  <sheetData>
    <row r="1" spans="1:7" x14ac:dyDescent="0.2">
      <c r="A1" s="1" t="s">
        <v>0</v>
      </c>
      <c r="B1" s="1" t="s">
        <v>27</v>
      </c>
      <c r="C1" s="1" t="s">
        <v>5</v>
      </c>
      <c r="D1" s="1" t="s">
        <v>28</v>
      </c>
      <c r="E1" s="1" t="s">
        <v>29</v>
      </c>
      <c r="F1" s="1" t="s">
        <v>30</v>
      </c>
    </row>
    <row r="2" spans="1:7" x14ac:dyDescent="0.2">
      <c r="A2" s="2"/>
      <c r="B2" s="2" t="s">
        <v>11</v>
      </c>
      <c r="C2" s="2" t="s">
        <v>12</v>
      </c>
      <c r="D2" s="2" t="s">
        <v>13</v>
      </c>
      <c r="E2" s="2" t="s">
        <v>31</v>
      </c>
      <c r="F2" s="2" t="s">
        <v>32</v>
      </c>
      <c r="G2" s="2" t="s">
        <v>14</v>
      </c>
    </row>
    <row r="3" spans="1:7" x14ac:dyDescent="0.2">
      <c r="A3" s="2" t="s">
        <v>9</v>
      </c>
      <c r="B3" s="2">
        <v>1</v>
      </c>
      <c r="C3" s="2">
        <v>1</v>
      </c>
      <c r="D3" s="2">
        <v>1</v>
      </c>
      <c r="E3" s="2">
        <v>8</v>
      </c>
      <c r="F3" s="2">
        <v>14</v>
      </c>
      <c r="G3" s="2">
        <f>B3*C3*D3*E3*F3</f>
        <v>112</v>
      </c>
    </row>
    <row r="4" spans="1:7" x14ac:dyDescent="0.2">
      <c r="A4" s="2" t="s">
        <v>10</v>
      </c>
      <c r="B4" s="2">
        <v>1</v>
      </c>
      <c r="C4" s="2">
        <v>1</v>
      </c>
      <c r="D4" s="2">
        <v>14</v>
      </c>
      <c r="E4" s="2">
        <v>8</v>
      </c>
      <c r="F4" s="2">
        <v>14</v>
      </c>
      <c r="G4" s="2">
        <f>B4*C4*D4*E4*F4+G3</f>
        <v>1680</v>
      </c>
    </row>
    <row r="5" spans="1:7" x14ac:dyDescent="0.2">
      <c r="A5" s="2" t="s">
        <v>33</v>
      </c>
      <c r="B5" s="2">
        <v>1</v>
      </c>
      <c r="C5" s="2">
        <v>8</v>
      </c>
      <c r="D5" s="2">
        <v>14</v>
      </c>
      <c r="E5" s="2">
        <v>8</v>
      </c>
      <c r="F5" s="2">
        <v>14</v>
      </c>
      <c r="G5" s="2">
        <f>B5*C5*D5*E5*F5+G4</f>
        <v>14224</v>
      </c>
    </row>
    <row r="6" spans="1:7" x14ac:dyDescent="0.2">
      <c r="A6" s="2" t="s">
        <v>34</v>
      </c>
      <c r="B6" s="2">
        <v>14</v>
      </c>
      <c r="C6" s="2">
        <v>8</v>
      </c>
      <c r="D6" s="2">
        <v>14</v>
      </c>
      <c r="E6" s="2">
        <v>8</v>
      </c>
      <c r="F6" s="2">
        <v>14</v>
      </c>
      <c r="G6" s="2">
        <f>B6*C6*D6*E6*F6+G5</f>
        <v>189840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zoomScale="63" zoomScaleNormal="63" workbookViewId="0">
      <selection activeCell="B13" sqref="B13"/>
    </sheetView>
  </sheetViews>
  <sheetFormatPr baseColWidth="10" defaultColWidth="10.5" defaultRowHeight="16" x14ac:dyDescent="0.2"/>
  <sheetData>
    <row r="1" spans="1:5" x14ac:dyDescent="0.2">
      <c r="A1" t="s">
        <v>15</v>
      </c>
      <c r="B1">
        <v>2</v>
      </c>
      <c r="C1">
        <v>28</v>
      </c>
      <c r="D1">
        <v>1</v>
      </c>
      <c r="E1">
        <f>B1*C1*D1*4</f>
        <v>224</v>
      </c>
    </row>
    <row r="2" spans="1:5" x14ac:dyDescent="0.2">
      <c r="A2" t="s">
        <v>16</v>
      </c>
      <c r="B2">
        <v>2</v>
      </c>
      <c r="C2">
        <v>168</v>
      </c>
      <c r="D2">
        <v>1</v>
      </c>
      <c r="E2">
        <f>B2*C2*D2*4+E1</f>
        <v>1568</v>
      </c>
    </row>
    <row r="3" spans="1:5" x14ac:dyDescent="0.2">
      <c r="A3" t="s">
        <v>17</v>
      </c>
      <c r="B3">
        <v>28</v>
      </c>
      <c r="C3">
        <v>28</v>
      </c>
      <c r="D3">
        <v>1</v>
      </c>
      <c r="E3">
        <f>B3*C3*D3*4+E2</f>
        <v>4704</v>
      </c>
    </row>
    <row r="4" spans="1:5" x14ac:dyDescent="0.2">
      <c r="A4" t="s">
        <v>18</v>
      </c>
      <c r="B4">
        <v>28</v>
      </c>
      <c r="C4">
        <v>168</v>
      </c>
      <c r="D4">
        <v>1</v>
      </c>
      <c r="E4">
        <f>B4*C4*D4*4+E3</f>
        <v>23520</v>
      </c>
    </row>
    <row r="5" spans="1:5" x14ac:dyDescent="0.2">
      <c r="A5" t="s">
        <v>23</v>
      </c>
      <c r="B5">
        <v>2</v>
      </c>
      <c r="C5">
        <v>28</v>
      </c>
      <c r="D5">
        <v>28</v>
      </c>
      <c r="E5">
        <f>B5*C5*D5*8+E4</f>
        <v>36064</v>
      </c>
    </row>
    <row r="6" spans="1:5" x14ac:dyDescent="0.2">
      <c r="A6" t="s">
        <v>24</v>
      </c>
      <c r="B6">
        <v>2</v>
      </c>
      <c r="C6">
        <v>28</v>
      </c>
      <c r="D6">
        <v>168</v>
      </c>
      <c r="E6">
        <f>B6*C6*D6*8+E5</f>
        <v>111328</v>
      </c>
    </row>
    <row r="7" spans="1:5" x14ac:dyDescent="0.2">
      <c r="A7" t="s">
        <v>25</v>
      </c>
      <c r="B7">
        <v>28</v>
      </c>
      <c r="C7">
        <v>28</v>
      </c>
      <c r="D7">
        <v>28</v>
      </c>
      <c r="E7">
        <f>B7*C7*D7*8+E6</f>
        <v>286944</v>
      </c>
    </row>
    <row r="8" spans="1:5" x14ac:dyDescent="0.2">
      <c r="A8" t="s">
        <v>26</v>
      </c>
      <c r="B8">
        <v>28</v>
      </c>
      <c r="C8">
        <v>28</v>
      </c>
      <c r="D8">
        <v>168</v>
      </c>
      <c r="E8">
        <f>B8*C8*D8*8+E7</f>
        <v>1340640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EnglishBH</vt:lpstr>
      <vt:lpstr>EnglishFD</vt:lpstr>
      <vt:lpstr>CantoneseBH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Ivy Zheng</dc:creator>
  <dc:description/>
  <cp:lastModifiedBy>Ivy Zheng</cp:lastModifiedBy>
  <cp:revision>3</cp:revision>
  <dcterms:created xsi:type="dcterms:W3CDTF">2025-02-24T06:16:06Z</dcterms:created>
  <dcterms:modified xsi:type="dcterms:W3CDTF">2026-04-15T12:40:40Z</dcterms:modified>
  <dc:language>en-HK</dc:language>
</cp:coreProperties>
</file>