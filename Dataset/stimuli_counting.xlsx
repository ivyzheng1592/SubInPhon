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y/Desktop/Modeling/SubtanceInPhonology/SubInPhon.nosync/Dataset/"/>
    </mc:Choice>
  </mc:AlternateContent>
  <xr:revisionPtr revIDLastSave="0" documentId="13_ncr:1_{EECA4F70-A349-FA4F-97AD-BC4EB5C16631}" xr6:coauthVersionLast="47" xr6:coauthVersionMax="47" xr10:uidLastSave="{00000000-0000-0000-0000-000000000000}"/>
  <bookViews>
    <workbookView xWindow="4440" yWindow="740" windowWidth="24960" windowHeight="17920" tabRatio="500" xr2:uid="{00000000-000D-0000-FFFF-FFFF00000000}"/>
  </bookViews>
  <sheets>
    <sheet name="EnglishBH" sheetId="1" r:id="rId1"/>
    <sheet name="EnglishFD" sheetId="2" r:id="rId2"/>
    <sheet name="CantoneseBH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8" i="1" l="1"/>
  <c r="L8" i="1"/>
  <c r="P6" i="1"/>
  <c r="N6" i="1"/>
  <c r="J8" i="1"/>
  <c r="J6" i="1"/>
  <c r="L6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52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9" i="1"/>
  <c r="E11" i="1"/>
  <c r="E14" i="1"/>
  <c r="E16" i="1"/>
  <c r="E18" i="1"/>
  <c r="E19" i="1"/>
  <c r="E20" i="1"/>
  <c r="E7" i="1"/>
  <c r="E1" i="3"/>
  <c r="E2" i="3" s="1"/>
  <c r="E3" i="3" s="1"/>
  <c r="E4" i="3" s="1"/>
  <c r="E5" i="3" s="1"/>
  <c r="E6" i="3" s="1"/>
  <c r="E7" i="3" s="1"/>
  <c r="E8" i="3" s="1"/>
  <c r="G3" i="2"/>
  <c r="G4" i="2" s="1"/>
  <c r="G5" i="2" s="1"/>
  <c r="G6" i="2" s="1"/>
  <c r="C19" i="1"/>
  <c r="B19" i="1"/>
  <c r="B17" i="1"/>
  <c r="E17" i="1" s="1"/>
  <c r="C15" i="1"/>
  <c r="B15" i="1"/>
  <c r="B13" i="1"/>
  <c r="E13" i="1" s="1"/>
  <c r="C12" i="1"/>
  <c r="B12" i="1"/>
  <c r="C10" i="1"/>
  <c r="B10" i="1"/>
  <c r="C8" i="1"/>
  <c r="E8" i="1" s="1"/>
  <c r="C6" i="1"/>
  <c r="E6" i="1" s="1"/>
  <c r="D4" i="1"/>
  <c r="C4" i="1"/>
  <c r="B4" i="1"/>
  <c r="E3" i="1"/>
  <c r="D3" i="1"/>
  <c r="C3" i="1"/>
  <c r="B3" i="1"/>
  <c r="E2" i="1"/>
  <c r="D2" i="1"/>
  <c r="C2" i="1"/>
  <c r="B2" i="1"/>
  <c r="E15" i="1" l="1"/>
  <c r="E10" i="1"/>
  <c r="E12" i="1"/>
  <c r="J7" i="1"/>
</calcChain>
</file>

<file path=xl/sharedStrings.xml><?xml version="1.0" encoding="utf-8"?>
<sst xmlns="http://schemas.openxmlformats.org/spreadsheetml/2006/main" count="125" uniqueCount="112">
  <si>
    <t>V</t>
  </si>
  <si>
    <t>2 front open</t>
  </si>
  <si>
    <t>2 front closed</t>
  </si>
  <si>
    <t>2 back open</t>
  </si>
  <si>
    <t>2 back closed</t>
  </si>
  <si>
    <t>C</t>
  </si>
  <si>
    <t>17 onset</t>
  </si>
  <si>
    <t>17 coda</t>
  </si>
  <si>
    <t>CV</t>
  </si>
  <si>
    <t>VC</t>
  </si>
  <si>
    <t>CVC</t>
  </si>
  <si>
    <t>s1</t>
  </si>
  <si>
    <t>s2</t>
  </si>
  <si>
    <t>s3</t>
  </si>
  <si>
    <t>total</t>
  </si>
  <si>
    <t>V-CV</t>
  </si>
  <si>
    <t>V-CVC</t>
  </si>
  <si>
    <t>CV-CV</t>
  </si>
  <si>
    <t>CV-CVC</t>
  </si>
  <si>
    <t>VC-V</t>
  </si>
  <si>
    <t>VC-VC</t>
  </si>
  <si>
    <t>CVC-V</t>
  </si>
  <si>
    <t>CVC-VC</t>
  </si>
  <si>
    <t>V.CV-CV</t>
  </si>
  <si>
    <t>V.CV-CVC</t>
  </si>
  <si>
    <t>CV.CV-CV</t>
  </si>
  <si>
    <t>CV.CV-CVC</t>
  </si>
  <si>
    <t>8 vowel</t>
  </si>
  <si>
    <t>14 onset</t>
  </si>
  <si>
    <t>7 voiceless coda</t>
  </si>
  <si>
    <t>7 voiced coda</t>
  </si>
  <si>
    <t>s4</t>
  </si>
  <si>
    <t>s5</t>
  </si>
  <si>
    <t>VCVC</t>
  </si>
  <si>
    <t>CVCVC</t>
  </si>
  <si>
    <t>V-VC</t>
  </si>
  <si>
    <t>CV-V</t>
  </si>
  <si>
    <t>CV-VC</t>
  </si>
  <si>
    <t>VC-CV</t>
  </si>
  <si>
    <t>VC-CVC</t>
  </si>
  <si>
    <t>CVC-CVC</t>
  </si>
  <si>
    <t>CVC-CV</t>
  </si>
  <si>
    <t>count</t>
  </si>
  <si>
    <t>full version</t>
  </si>
  <si>
    <t>shortened version</t>
  </si>
  <si>
    <t>expanded version</t>
  </si>
  <si>
    <t>V-V-CV</t>
  </si>
  <si>
    <t>V-V-VC</t>
  </si>
  <si>
    <t>V-V-CVC</t>
  </si>
  <si>
    <t>V-CV-V</t>
  </si>
  <si>
    <t>V-CV-CV</t>
  </si>
  <si>
    <t>V-CV-VC</t>
  </si>
  <si>
    <t>V-CV-CVC</t>
  </si>
  <si>
    <t>V-VC-V</t>
  </si>
  <si>
    <t>V-VC-CV</t>
  </si>
  <si>
    <t>V-VC-VC</t>
  </si>
  <si>
    <t>V-VC-CVC</t>
  </si>
  <si>
    <t>V-CVC-V</t>
  </si>
  <si>
    <t>V-CVC-CV</t>
  </si>
  <si>
    <t>V-CVC-VC</t>
  </si>
  <si>
    <t>V-CVC-CVC</t>
  </si>
  <si>
    <t>CV-V-V</t>
  </si>
  <si>
    <t>CV-V-CV</t>
  </si>
  <si>
    <t>CV-V-VC</t>
  </si>
  <si>
    <t>CV-V-CVC</t>
  </si>
  <si>
    <t>CV-CV-V</t>
  </si>
  <si>
    <t>CV-CV-CV</t>
  </si>
  <si>
    <t>CV-CV-VC</t>
  </si>
  <si>
    <t>CV-CV-CVC</t>
  </si>
  <si>
    <t>CV-VC-V</t>
  </si>
  <si>
    <t>CV-VC-CV</t>
  </si>
  <si>
    <t>CV-VC-VC</t>
  </si>
  <si>
    <t>CV-VC-CVC</t>
  </si>
  <si>
    <t>CV-CVC-V</t>
  </si>
  <si>
    <t>CV-CVC-CV</t>
  </si>
  <si>
    <t>CV-CVC-VC</t>
  </si>
  <si>
    <t>CV-CVC-CVC</t>
  </si>
  <si>
    <t>VC-V-V</t>
  </si>
  <si>
    <t>VC-V-CV</t>
  </si>
  <si>
    <t>VC-V-VC</t>
  </si>
  <si>
    <t>VC-V-CVC</t>
  </si>
  <si>
    <t>VC-CV-V</t>
  </si>
  <si>
    <t>VC-CV-CV</t>
  </si>
  <si>
    <t>VC-CV-VC</t>
  </si>
  <si>
    <t>VC-CV-CVC</t>
  </si>
  <si>
    <t>VC-VC-V</t>
  </si>
  <si>
    <t>VC-VC-CV</t>
  </si>
  <si>
    <t>VC-VC-VC</t>
  </si>
  <si>
    <t>VC-VC-CVC</t>
  </si>
  <si>
    <t>VC-CVC-V</t>
  </si>
  <si>
    <t>VC-CVC-CV</t>
  </si>
  <si>
    <t>VC-CVC-VC</t>
  </si>
  <si>
    <t>VC-CVC-CVC</t>
  </si>
  <si>
    <t>CVC-V-V</t>
  </si>
  <si>
    <t>CVC-V-CV</t>
  </si>
  <si>
    <t>CVC-V-VC</t>
  </si>
  <si>
    <t>CVC-V-CVC</t>
  </si>
  <si>
    <t>CVC-CV-V</t>
  </si>
  <si>
    <t>CVC-CV-CV</t>
  </si>
  <si>
    <t>CVC-CV-VC</t>
  </si>
  <si>
    <t>CVC-CV-CVC</t>
  </si>
  <si>
    <t>CVC-VC-V</t>
  </si>
  <si>
    <t>CVC-VC-CV</t>
  </si>
  <si>
    <t>CVC-VC-VC</t>
  </si>
  <si>
    <t>CVC-VC-CVC</t>
  </si>
  <si>
    <t>CVC-CVC-V</t>
  </si>
  <si>
    <t>CVC-CVC-CV</t>
  </si>
  <si>
    <t>CVC-CVC-VC</t>
  </si>
  <si>
    <t>CVC-CVC-CVC</t>
  </si>
  <si>
    <t>using</t>
  </si>
  <si>
    <t>training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</si>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</sst>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tabSelected="1" topLeftCell="E1" zoomScale="137" zoomScaleNormal="63" workbookViewId="0">
      <selection activeCell="L8" sqref="L8"/>
    </sheetView>
  </sheetViews>
  <sheetFormatPr baseColWidth="10" defaultColWidth="10.5" defaultRowHeight="16" x14ac:dyDescent="0.2"/>
  <cols>
    <col min="3" max="3" width="10.83203125" customWidth="1"/>
    <col min="10" max="10" width="12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x14ac:dyDescent="0.2">
      <c r="A2" s="1" t="s">
        <v>8</v>
      </c>
      <c r="B2" s="1">
        <f t="shared" ref="B2:E3" si="0">2*17</f>
        <v>34</v>
      </c>
      <c r="C2" s="1">
        <f t="shared" si="0"/>
        <v>34</v>
      </c>
      <c r="D2" s="1">
        <f t="shared" si="0"/>
        <v>34</v>
      </c>
      <c r="E2" s="1">
        <f t="shared" si="0"/>
        <v>34</v>
      </c>
    </row>
    <row r="3" spans="1:16" x14ac:dyDescent="0.2">
      <c r="A3" s="1" t="s">
        <v>9</v>
      </c>
      <c r="B3" s="1">
        <f t="shared" si="0"/>
        <v>34</v>
      </c>
      <c r="C3" s="1">
        <f t="shared" si="0"/>
        <v>34</v>
      </c>
      <c r="D3" s="1">
        <f t="shared" si="0"/>
        <v>34</v>
      </c>
      <c r="E3" s="1">
        <f t="shared" si="0"/>
        <v>34</v>
      </c>
    </row>
    <row r="4" spans="1:16" x14ac:dyDescent="0.2">
      <c r="A4" s="1" t="s">
        <v>10</v>
      </c>
      <c r="B4" s="1">
        <f>17*2*17</f>
        <v>578</v>
      </c>
      <c r="C4" s="1">
        <f>17*2*17</f>
        <v>578</v>
      </c>
      <c r="D4" s="1">
        <f>17*2*17</f>
        <v>578</v>
      </c>
      <c r="E4" s="1"/>
    </row>
    <row r="5" spans="1:16" x14ac:dyDescent="0.2">
      <c r="B5" t="s">
        <v>11</v>
      </c>
      <c r="C5" t="s">
        <v>12</v>
      </c>
      <c r="D5" t="s">
        <v>13</v>
      </c>
      <c r="E5" t="s">
        <v>42</v>
      </c>
    </row>
    <row r="6" spans="1:16" x14ac:dyDescent="0.2">
      <c r="A6" t="s">
        <v>15</v>
      </c>
      <c r="B6">
        <v>4</v>
      </c>
      <c r="C6">
        <f>17*4</f>
        <v>68</v>
      </c>
      <c r="D6">
        <v>1</v>
      </c>
      <c r="E6">
        <f>B6*C6*D6</f>
        <v>272</v>
      </c>
      <c r="H6" t="s">
        <v>43</v>
      </c>
      <c r="J6">
        <f>SUM(E6:E20)</f>
        <v>1679600</v>
      </c>
      <c r="K6" t="s">
        <v>109</v>
      </c>
      <c r="L6">
        <f>J6*0.1</f>
        <v>167960</v>
      </c>
      <c r="M6" t="s">
        <v>110</v>
      </c>
      <c r="N6">
        <f>L6*0.6</f>
        <v>100776</v>
      </c>
      <c r="O6" t="s">
        <v>111</v>
      </c>
      <c r="P6">
        <f>L6*0.2</f>
        <v>33592</v>
      </c>
    </row>
    <row r="7" spans="1:16" x14ac:dyDescent="0.2">
      <c r="A7" t="s">
        <v>35</v>
      </c>
      <c r="B7">
        <v>4</v>
      </c>
      <c r="C7">
        <v>68</v>
      </c>
      <c r="D7">
        <v>1</v>
      </c>
      <c r="E7">
        <f>B7*C7*D7</f>
        <v>272</v>
      </c>
      <c r="H7" t="s">
        <v>44</v>
      </c>
      <c r="J7">
        <f>E6+E8+E10+E13+E15+E17</f>
        <v>19040</v>
      </c>
    </row>
    <row r="8" spans="1:16" x14ac:dyDescent="0.2">
      <c r="A8" t="s">
        <v>16</v>
      </c>
      <c r="B8">
        <v>4</v>
      </c>
      <c r="C8">
        <f>17*4*17</f>
        <v>1156</v>
      </c>
      <c r="D8">
        <v>1</v>
      </c>
      <c r="E8">
        <f t="shared" ref="E8:E71" si="1">B8*C8*D8</f>
        <v>4624</v>
      </c>
      <c r="H8" t="s">
        <v>45</v>
      </c>
      <c r="J8">
        <f>SUM(E6:E83)</f>
        <v>2178461872</v>
      </c>
      <c r="K8" t="s">
        <v>109</v>
      </c>
      <c r="L8">
        <f>ROUND(J8*0.0001,0)</f>
        <v>217846</v>
      </c>
      <c r="O8" t="s">
        <v>111</v>
      </c>
      <c r="P8">
        <f>ROUND(L8*0.2,0)</f>
        <v>43569</v>
      </c>
    </row>
    <row r="9" spans="1:16" x14ac:dyDescent="0.2">
      <c r="A9" t="s">
        <v>36</v>
      </c>
      <c r="B9">
        <v>68</v>
      </c>
      <c r="C9">
        <v>4</v>
      </c>
      <c r="D9">
        <v>1</v>
      </c>
      <c r="E9">
        <f t="shared" si="1"/>
        <v>272</v>
      </c>
    </row>
    <row r="10" spans="1:16" x14ac:dyDescent="0.2">
      <c r="A10" t="s">
        <v>17</v>
      </c>
      <c r="B10">
        <f>17*4</f>
        <v>68</v>
      </c>
      <c r="C10">
        <f>17*4</f>
        <v>68</v>
      </c>
      <c r="D10">
        <v>1</v>
      </c>
      <c r="E10">
        <f t="shared" si="1"/>
        <v>4624</v>
      </c>
    </row>
    <row r="11" spans="1:16" x14ac:dyDescent="0.2">
      <c r="A11" t="s">
        <v>37</v>
      </c>
      <c r="B11">
        <v>68</v>
      </c>
      <c r="C11">
        <v>68</v>
      </c>
      <c r="D11">
        <v>1</v>
      </c>
      <c r="E11">
        <f t="shared" si="1"/>
        <v>4624</v>
      </c>
    </row>
    <row r="12" spans="1:16" x14ac:dyDescent="0.2">
      <c r="A12" t="s">
        <v>18</v>
      </c>
      <c r="B12">
        <f>17*4</f>
        <v>68</v>
      </c>
      <c r="C12">
        <f>17*4*17</f>
        <v>1156</v>
      </c>
      <c r="D12">
        <v>1</v>
      </c>
      <c r="E12">
        <f t="shared" si="1"/>
        <v>78608</v>
      </c>
    </row>
    <row r="13" spans="1:16" x14ac:dyDescent="0.2">
      <c r="A13" t="s">
        <v>19</v>
      </c>
      <c r="B13">
        <f>17*4</f>
        <v>68</v>
      </c>
      <c r="C13">
        <v>4</v>
      </c>
      <c r="D13">
        <v>1</v>
      </c>
      <c r="E13">
        <f t="shared" si="1"/>
        <v>272</v>
      </c>
    </row>
    <row r="14" spans="1:16" x14ac:dyDescent="0.2">
      <c r="A14" t="s">
        <v>38</v>
      </c>
      <c r="B14">
        <v>68</v>
      </c>
      <c r="C14">
        <v>68</v>
      </c>
      <c r="D14">
        <v>1</v>
      </c>
      <c r="E14">
        <f t="shared" si="1"/>
        <v>4624</v>
      </c>
    </row>
    <row r="15" spans="1:16" x14ac:dyDescent="0.2">
      <c r="A15" t="s">
        <v>20</v>
      </c>
      <c r="B15">
        <f>17*4</f>
        <v>68</v>
      </c>
      <c r="C15">
        <f>17*4</f>
        <v>68</v>
      </c>
      <c r="D15">
        <v>1</v>
      </c>
      <c r="E15">
        <f t="shared" si="1"/>
        <v>4624</v>
      </c>
    </row>
    <row r="16" spans="1:16" x14ac:dyDescent="0.2">
      <c r="A16" t="s">
        <v>39</v>
      </c>
      <c r="B16">
        <v>68</v>
      </c>
      <c r="C16">
        <v>1156</v>
      </c>
      <c r="D16">
        <v>1</v>
      </c>
      <c r="E16">
        <f t="shared" si="1"/>
        <v>78608</v>
      </c>
    </row>
    <row r="17" spans="1:5" x14ac:dyDescent="0.2">
      <c r="A17" t="s">
        <v>21</v>
      </c>
      <c r="B17">
        <f>17*4*17</f>
        <v>1156</v>
      </c>
      <c r="C17">
        <v>4</v>
      </c>
      <c r="D17">
        <v>1</v>
      </c>
      <c r="E17">
        <f t="shared" si="1"/>
        <v>4624</v>
      </c>
    </row>
    <row r="18" spans="1:5" x14ac:dyDescent="0.2">
      <c r="A18" t="s">
        <v>41</v>
      </c>
      <c r="B18">
        <v>1156</v>
      </c>
      <c r="C18">
        <v>68</v>
      </c>
      <c r="D18">
        <v>1</v>
      </c>
      <c r="E18">
        <f t="shared" si="1"/>
        <v>78608</v>
      </c>
    </row>
    <row r="19" spans="1:5" x14ac:dyDescent="0.2">
      <c r="A19" t="s">
        <v>22</v>
      </c>
      <c r="B19">
        <f>17*4*17</f>
        <v>1156</v>
      </c>
      <c r="C19">
        <f>17*4</f>
        <v>68</v>
      </c>
      <c r="D19">
        <v>1</v>
      </c>
      <c r="E19">
        <f t="shared" si="1"/>
        <v>78608</v>
      </c>
    </row>
    <row r="20" spans="1:5" x14ac:dyDescent="0.2">
      <c r="A20" t="s">
        <v>40</v>
      </c>
      <c r="B20">
        <v>1156</v>
      </c>
      <c r="C20">
        <v>1156</v>
      </c>
      <c r="D20">
        <v>1</v>
      </c>
      <c r="E20">
        <f t="shared" si="1"/>
        <v>1336336</v>
      </c>
    </row>
    <row r="21" spans="1:5" x14ac:dyDescent="0.2">
      <c r="A21" t="s">
        <v>46</v>
      </c>
      <c r="B21">
        <v>4</v>
      </c>
      <c r="C21">
        <v>4</v>
      </c>
      <c r="D21">
        <v>68</v>
      </c>
      <c r="E21">
        <f t="shared" si="1"/>
        <v>1088</v>
      </c>
    </row>
    <row r="22" spans="1:5" x14ac:dyDescent="0.2">
      <c r="A22" t="s">
        <v>47</v>
      </c>
      <c r="B22">
        <v>4</v>
      </c>
      <c r="C22">
        <v>4</v>
      </c>
      <c r="D22">
        <v>68</v>
      </c>
      <c r="E22">
        <f t="shared" si="1"/>
        <v>1088</v>
      </c>
    </row>
    <row r="23" spans="1:5" x14ac:dyDescent="0.2">
      <c r="A23" t="s">
        <v>48</v>
      </c>
      <c r="B23">
        <v>4</v>
      </c>
      <c r="C23">
        <v>4</v>
      </c>
      <c r="D23">
        <v>1156</v>
      </c>
      <c r="E23">
        <f t="shared" si="1"/>
        <v>18496</v>
      </c>
    </row>
    <row r="24" spans="1:5" x14ac:dyDescent="0.2">
      <c r="A24" t="s">
        <v>49</v>
      </c>
      <c r="B24">
        <v>4</v>
      </c>
      <c r="C24">
        <v>68</v>
      </c>
      <c r="D24">
        <v>4</v>
      </c>
      <c r="E24">
        <f t="shared" si="1"/>
        <v>1088</v>
      </c>
    </row>
    <row r="25" spans="1:5" x14ac:dyDescent="0.2">
      <c r="A25" t="s">
        <v>50</v>
      </c>
      <c r="B25">
        <v>4</v>
      </c>
      <c r="C25">
        <v>68</v>
      </c>
      <c r="D25">
        <v>68</v>
      </c>
      <c r="E25">
        <f t="shared" si="1"/>
        <v>18496</v>
      </c>
    </row>
    <row r="26" spans="1:5" x14ac:dyDescent="0.2">
      <c r="A26" t="s">
        <v>51</v>
      </c>
      <c r="B26">
        <v>4</v>
      </c>
      <c r="C26">
        <v>68</v>
      </c>
      <c r="D26">
        <v>68</v>
      </c>
      <c r="E26">
        <f t="shared" si="1"/>
        <v>18496</v>
      </c>
    </row>
    <row r="27" spans="1:5" x14ac:dyDescent="0.2">
      <c r="A27" t="s">
        <v>52</v>
      </c>
      <c r="B27">
        <v>4</v>
      </c>
      <c r="C27">
        <v>68</v>
      </c>
      <c r="D27">
        <v>1156</v>
      </c>
      <c r="E27">
        <f t="shared" si="1"/>
        <v>314432</v>
      </c>
    </row>
    <row r="28" spans="1:5" x14ac:dyDescent="0.2">
      <c r="A28" t="s">
        <v>53</v>
      </c>
      <c r="B28">
        <v>4</v>
      </c>
      <c r="C28">
        <v>68</v>
      </c>
      <c r="D28">
        <v>4</v>
      </c>
      <c r="E28">
        <f t="shared" si="1"/>
        <v>1088</v>
      </c>
    </row>
    <row r="29" spans="1:5" x14ac:dyDescent="0.2">
      <c r="A29" t="s">
        <v>54</v>
      </c>
      <c r="B29">
        <v>4</v>
      </c>
      <c r="C29">
        <v>68</v>
      </c>
      <c r="D29">
        <v>68</v>
      </c>
      <c r="E29">
        <f t="shared" si="1"/>
        <v>18496</v>
      </c>
    </row>
    <row r="30" spans="1:5" x14ac:dyDescent="0.2">
      <c r="A30" t="s">
        <v>55</v>
      </c>
      <c r="B30">
        <v>4</v>
      </c>
      <c r="C30">
        <v>68</v>
      </c>
      <c r="D30">
        <v>68</v>
      </c>
      <c r="E30">
        <f t="shared" si="1"/>
        <v>18496</v>
      </c>
    </row>
    <row r="31" spans="1:5" x14ac:dyDescent="0.2">
      <c r="A31" t="s">
        <v>56</v>
      </c>
      <c r="B31">
        <v>4</v>
      </c>
      <c r="C31">
        <v>68</v>
      </c>
      <c r="D31">
        <v>1156</v>
      </c>
      <c r="E31">
        <f t="shared" si="1"/>
        <v>314432</v>
      </c>
    </row>
    <row r="32" spans="1:5" x14ac:dyDescent="0.2">
      <c r="A32" t="s">
        <v>57</v>
      </c>
      <c r="B32">
        <v>4</v>
      </c>
      <c r="C32">
        <v>1156</v>
      </c>
      <c r="D32">
        <v>4</v>
      </c>
      <c r="E32">
        <f t="shared" si="1"/>
        <v>18496</v>
      </c>
    </row>
    <row r="33" spans="1:5" x14ac:dyDescent="0.2">
      <c r="A33" t="s">
        <v>58</v>
      </c>
      <c r="B33">
        <v>4</v>
      </c>
      <c r="C33">
        <v>1156</v>
      </c>
      <c r="D33">
        <v>68</v>
      </c>
      <c r="E33">
        <f t="shared" si="1"/>
        <v>314432</v>
      </c>
    </row>
    <row r="34" spans="1:5" x14ac:dyDescent="0.2">
      <c r="A34" t="s">
        <v>59</v>
      </c>
      <c r="B34">
        <v>4</v>
      </c>
      <c r="C34">
        <v>1156</v>
      </c>
      <c r="D34">
        <v>68</v>
      </c>
      <c r="E34">
        <f t="shared" si="1"/>
        <v>314432</v>
      </c>
    </row>
    <row r="35" spans="1:5" x14ac:dyDescent="0.2">
      <c r="A35" t="s">
        <v>60</v>
      </c>
      <c r="B35">
        <v>4</v>
      </c>
      <c r="C35">
        <v>1156</v>
      </c>
      <c r="D35">
        <v>1156</v>
      </c>
      <c r="E35">
        <f t="shared" si="1"/>
        <v>5345344</v>
      </c>
    </row>
    <row r="36" spans="1:5" x14ac:dyDescent="0.2">
      <c r="A36" t="s">
        <v>61</v>
      </c>
      <c r="B36">
        <v>68</v>
      </c>
      <c r="C36">
        <v>4</v>
      </c>
      <c r="D36">
        <v>4</v>
      </c>
      <c r="E36">
        <f t="shared" si="1"/>
        <v>1088</v>
      </c>
    </row>
    <row r="37" spans="1:5" x14ac:dyDescent="0.2">
      <c r="A37" t="s">
        <v>62</v>
      </c>
      <c r="B37">
        <v>68</v>
      </c>
      <c r="C37">
        <v>4</v>
      </c>
      <c r="D37">
        <v>68</v>
      </c>
      <c r="E37">
        <f>B37*C37*D37</f>
        <v>18496</v>
      </c>
    </row>
    <row r="38" spans="1:5" x14ac:dyDescent="0.2">
      <c r="A38" t="s">
        <v>63</v>
      </c>
      <c r="B38">
        <v>68</v>
      </c>
      <c r="C38">
        <v>4</v>
      </c>
      <c r="D38">
        <v>68</v>
      </c>
      <c r="E38">
        <f t="shared" si="1"/>
        <v>18496</v>
      </c>
    </row>
    <row r="39" spans="1:5" x14ac:dyDescent="0.2">
      <c r="A39" t="s">
        <v>64</v>
      </c>
      <c r="B39">
        <v>68</v>
      </c>
      <c r="C39">
        <v>4</v>
      </c>
      <c r="D39">
        <v>1156</v>
      </c>
      <c r="E39">
        <f t="shared" si="1"/>
        <v>314432</v>
      </c>
    </row>
    <row r="40" spans="1:5" x14ac:dyDescent="0.2">
      <c r="A40" t="s">
        <v>65</v>
      </c>
      <c r="B40">
        <v>68</v>
      </c>
      <c r="C40">
        <v>68</v>
      </c>
      <c r="D40">
        <v>4</v>
      </c>
      <c r="E40">
        <f t="shared" si="1"/>
        <v>18496</v>
      </c>
    </row>
    <row r="41" spans="1:5" x14ac:dyDescent="0.2">
      <c r="A41" t="s">
        <v>66</v>
      </c>
      <c r="B41">
        <v>68</v>
      </c>
      <c r="C41">
        <v>68</v>
      </c>
      <c r="D41">
        <v>68</v>
      </c>
      <c r="E41">
        <f t="shared" si="1"/>
        <v>314432</v>
      </c>
    </row>
    <row r="42" spans="1:5" x14ac:dyDescent="0.2">
      <c r="A42" t="s">
        <v>67</v>
      </c>
      <c r="B42">
        <v>68</v>
      </c>
      <c r="C42">
        <v>68</v>
      </c>
      <c r="D42">
        <v>68</v>
      </c>
      <c r="E42">
        <f t="shared" si="1"/>
        <v>314432</v>
      </c>
    </row>
    <row r="43" spans="1:5" x14ac:dyDescent="0.2">
      <c r="A43" t="s">
        <v>68</v>
      </c>
      <c r="B43">
        <v>68</v>
      </c>
      <c r="C43">
        <v>68</v>
      </c>
      <c r="D43">
        <v>1156</v>
      </c>
      <c r="E43">
        <f t="shared" si="1"/>
        <v>5345344</v>
      </c>
    </row>
    <row r="44" spans="1:5" x14ac:dyDescent="0.2">
      <c r="A44" t="s">
        <v>69</v>
      </c>
      <c r="B44">
        <v>68</v>
      </c>
      <c r="C44">
        <v>68</v>
      </c>
      <c r="D44">
        <v>4</v>
      </c>
      <c r="E44">
        <f t="shared" si="1"/>
        <v>18496</v>
      </c>
    </row>
    <row r="45" spans="1:5" x14ac:dyDescent="0.2">
      <c r="A45" t="s">
        <v>70</v>
      </c>
      <c r="B45">
        <v>68</v>
      </c>
      <c r="C45">
        <v>68</v>
      </c>
      <c r="D45">
        <v>68</v>
      </c>
      <c r="E45">
        <f t="shared" si="1"/>
        <v>314432</v>
      </c>
    </row>
    <row r="46" spans="1:5" x14ac:dyDescent="0.2">
      <c r="A46" t="s">
        <v>71</v>
      </c>
      <c r="B46">
        <v>68</v>
      </c>
      <c r="C46">
        <v>68</v>
      </c>
      <c r="D46">
        <v>68</v>
      </c>
      <c r="E46">
        <f t="shared" si="1"/>
        <v>314432</v>
      </c>
    </row>
    <row r="47" spans="1:5" x14ac:dyDescent="0.2">
      <c r="A47" t="s">
        <v>72</v>
      </c>
      <c r="B47">
        <v>68</v>
      </c>
      <c r="C47">
        <v>68</v>
      </c>
      <c r="D47">
        <v>1156</v>
      </c>
      <c r="E47">
        <f t="shared" si="1"/>
        <v>5345344</v>
      </c>
    </row>
    <row r="48" spans="1:5" x14ac:dyDescent="0.2">
      <c r="A48" t="s">
        <v>73</v>
      </c>
      <c r="B48">
        <v>68</v>
      </c>
      <c r="C48">
        <v>1156</v>
      </c>
      <c r="D48">
        <v>4</v>
      </c>
      <c r="E48">
        <f t="shared" si="1"/>
        <v>314432</v>
      </c>
    </row>
    <row r="49" spans="1:5" x14ac:dyDescent="0.2">
      <c r="A49" t="s">
        <v>74</v>
      </c>
      <c r="B49">
        <v>68</v>
      </c>
      <c r="C49">
        <v>1156</v>
      </c>
      <c r="D49">
        <v>68</v>
      </c>
      <c r="E49">
        <f t="shared" si="1"/>
        <v>5345344</v>
      </c>
    </row>
    <row r="50" spans="1:5" x14ac:dyDescent="0.2">
      <c r="A50" t="s">
        <v>75</v>
      </c>
      <c r="B50">
        <v>68</v>
      </c>
      <c r="C50">
        <v>1156</v>
      </c>
      <c r="D50">
        <v>68</v>
      </c>
      <c r="E50">
        <f t="shared" si="1"/>
        <v>5345344</v>
      </c>
    </row>
    <row r="51" spans="1:5" x14ac:dyDescent="0.2">
      <c r="A51" t="s">
        <v>76</v>
      </c>
      <c r="B51">
        <v>68</v>
      </c>
      <c r="C51">
        <v>1156</v>
      </c>
      <c r="D51">
        <v>1156</v>
      </c>
      <c r="E51">
        <f t="shared" si="1"/>
        <v>90870848</v>
      </c>
    </row>
    <row r="52" spans="1:5" x14ac:dyDescent="0.2">
      <c r="A52" t="s">
        <v>77</v>
      </c>
      <c r="B52">
        <v>68</v>
      </c>
      <c r="C52">
        <v>4</v>
      </c>
      <c r="D52">
        <v>4</v>
      </c>
      <c r="E52">
        <f t="shared" si="1"/>
        <v>1088</v>
      </c>
    </row>
    <row r="53" spans="1:5" x14ac:dyDescent="0.2">
      <c r="A53" t="s">
        <v>78</v>
      </c>
      <c r="B53">
        <v>68</v>
      </c>
      <c r="C53">
        <v>4</v>
      </c>
      <c r="D53">
        <v>68</v>
      </c>
      <c r="E53">
        <f t="shared" si="1"/>
        <v>18496</v>
      </c>
    </row>
    <row r="54" spans="1:5" x14ac:dyDescent="0.2">
      <c r="A54" t="s">
        <v>79</v>
      </c>
      <c r="B54">
        <v>68</v>
      </c>
      <c r="C54">
        <v>4</v>
      </c>
      <c r="D54">
        <v>68</v>
      </c>
      <c r="E54">
        <f t="shared" si="1"/>
        <v>18496</v>
      </c>
    </row>
    <row r="55" spans="1:5" x14ac:dyDescent="0.2">
      <c r="A55" t="s">
        <v>80</v>
      </c>
      <c r="B55">
        <v>68</v>
      </c>
      <c r="C55">
        <v>4</v>
      </c>
      <c r="D55">
        <v>1156</v>
      </c>
      <c r="E55">
        <f t="shared" si="1"/>
        <v>314432</v>
      </c>
    </row>
    <row r="56" spans="1:5" x14ac:dyDescent="0.2">
      <c r="A56" t="s">
        <v>81</v>
      </c>
      <c r="B56">
        <v>68</v>
      </c>
      <c r="C56">
        <v>68</v>
      </c>
      <c r="D56">
        <v>4</v>
      </c>
      <c r="E56">
        <f t="shared" si="1"/>
        <v>18496</v>
      </c>
    </row>
    <row r="57" spans="1:5" x14ac:dyDescent="0.2">
      <c r="A57" t="s">
        <v>82</v>
      </c>
      <c r="B57">
        <v>68</v>
      </c>
      <c r="C57">
        <v>68</v>
      </c>
      <c r="D57">
        <v>68</v>
      </c>
      <c r="E57">
        <f t="shared" si="1"/>
        <v>314432</v>
      </c>
    </row>
    <row r="58" spans="1:5" x14ac:dyDescent="0.2">
      <c r="A58" t="s">
        <v>83</v>
      </c>
      <c r="B58">
        <v>68</v>
      </c>
      <c r="C58">
        <v>68</v>
      </c>
      <c r="D58">
        <v>68</v>
      </c>
      <c r="E58">
        <f t="shared" si="1"/>
        <v>314432</v>
      </c>
    </row>
    <row r="59" spans="1:5" x14ac:dyDescent="0.2">
      <c r="A59" t="s">
        <v>84</v>
      </c>
      <c r="B59">
        <v>68</v>
      </c>
      <c r="C59">
        <v>68</v>
      </c>
      <c r="D59">
        <v>1156</v>
      </c>
      <c r="E59">
        <f t="shared" si="1"/>
        <v>5345344</v>
      </c>
    </row>
    <row r="60" spans="1:5" x14ac:dyDescent="0.2">
      <c r="A60" t="s">
        <v>85</v>
      </c>
      <c r="B60">
        <v>68</v>
      </c>
      <c r="C60">
        <v>68</v>
      </c>
      <c r="D60">
        <v>4</v>
      </c>
      <c r="E60">
        <f t="shared" si="1"/>
        <v>18496</v>
      </c>
    </row>
    <row r="61" spans="1:5" x14ac:dyDescent="0.2">
      <c r="A61" t="s">
        <v>86</v>
      </c>
      <c r="B61">
        <v>68</v>
      </c>
      <c r="C61">
        <v>68</v>
      </c>
      <c r="D61">
        <v>68</v>
      </c>
      <c r="E61">
        <f t="shared" si="1"/>
        <v>314432</v>
      </c>
    </row>
    <row r="62" spans="1:5" x14ac:dyDescent="0.2">
      <c r="A62" t="s">
        <v>87</v>
      </c>
      <c r="B62">
        <v>68</v>
      </c>
      <c r="C62">
        <v>68</v>
      </c>
      <c r="D62">
        <v>68</v>
      </c>
      <c r="E62">
        <f t="shared" si="1"/>
        <v>314432</v>
      </c>
    </row>
    <row r="63" spans="1:5" x14ac:dyDescent="0.2">
      <c r="A63" t="s">
        <v>88</v>
      </c>
      <c r="B63">
        <v>68</v>
      </c>
      <c r="C63">
        <v>68</v>
      </c>
      <c r="D63">
        <v>1156</v>
      </c>
      <c r="E63">
        <f t="shared" si="1"/>
        <v>5345344</v>
      </c>
    </row>
    <row r="64" spans="1:5" x14ac:dyDescent="0.2">
      <c r="A64" t="s">
        <v>89</v>
      </c>
      <c r="B64">
        <v>68</v>
      </c>
      <c r="C64">
        <v>1156</v>
      </c>
      <c r="D64">
        <v>4</v>
      </c>
      <c r="E64">
        <f t="shared" si="1"/>
        <v>314432</v>
      </c>
    </row>
    <row r="65" spans="1:5" x14ac:dyDescent="0.2">
      <c r="A65" t="s">
        <v>90</v>
      </c>
      <c r="B65">
        <v>68</v>
      </c>
      <c r="C65">
        <v>1156</v>
      </c>
      <c r="D65">
        <v>68</v>
      </c>
      <c r="E65">
        <f t="shared" si="1"/>
        <v>5345344</v>
      </c>
    </row>
    <row r="66" spans="1:5" x14ac:dyDescent="0.2">
      <c r="A66" t="s">
        <v>91</v>
      </c>
      <c r="B66">
        <v>68</v>
      </c>
      <c r="C66">
        <v>1156</v>
      </c>
      <c r="D66">
        <v>68</v>
      </c>
      <c r="E66">
        <f t="shared" si="1"/>
        <v>5345344</v>
      </c>
    </row>
    <row r="67" spans="1:5" x14ac:dyDescent="0.2">
      <c r="A67" t="s">
        <v>92</v>
      </c>
      <c r="B67">
        <v>68</v>
      </c>
      <c r="C67">
        <v>1156</v>
      </c>
      <c r="D67">
        <v>1156</v>
      </c>
      <c r="E67">
        <f t="shared" si="1"/>
        <v>90870848</v>
      </c>
    </row>
    <row r="68" spans="1:5" x14ac:dyDescent="0.2">
      <c r="A68" t="s">
        <v>93</v>
      </c>
      <c r="B68">
        <v>1156</v>
      </c>
      <c r="C68">
        <v>4</v>
      </c>
      <c r="D68">
        <v>4</v>
      </c>
      <c r="E68">
        <f t="shared" si="1"/>
        <v>18496</v>
      </c>
    </row>
    <row r="69" spans="1:5" x14ac:dyDescent="0.2">
      <c r="A69" t="s">
        <v>94</v>
      </c>
      <c r="B69">
        <v>1156</v>
      </c>
      <c r="C69">
        <v>4</v>
      </c>
      <c r="D69">
        <v>68</v>
      </c>
      <c r="E69">
        <f t="shared" si="1"/>
        <v>314432</v>
      </c>
    </row>
    <row r="70" spans="1:5" x14ac:dyDescent="0.2">
      <c r="A70" t="s">
        <v>95</v>
      </c>
      <c r="B70">
        <v>1156</v>
      </c>
      <c r="C70">
        <v>4</v>
      </c>
      <c r="D70">
        <v>68</v>
      </c>
      <c r="E70">
        <f t="shared" si="1"/>
        <v>314432</v>
      </c>
    </row>
    <row r="71" spans="1:5" x14ac:dyDescent="0.2">
      <c r="A71" t="s">
        <v>96</v>
      </c>
      <c r="B71">
        <v>1156</v>
      </c>
      <c r="C71">
        <v>4</v>
      </c>
      <c r="D71">
        <v>1156</v>
      </c>
      <c r="E71">
        <f t="shared" si="1"/>
        <v>5345344</v>
      </c>
    </row>
    <row r="72" spans="1:5" x14ac:dyDescent="0.2">
      <c r="A72" t="s">
        <v>97</v>
      </c>
      <c r="B72">
        <v>1156</v>
      </c>
      <c r="C72">
        <v>68</v>
      </c>
      <c r="D72">
        <v>4</v>
      </c>
      <c r="E72">
        <f t="shared" ref="E72:E83" si="2">B72*C72*D72</f>
        <v>314432</v>
      </c>
    </row>
    <row r="73" spans="1:5" x14ac:dyDescent="0.2">
      <c r="A73" t="s">
        <v>98</v>
      </c>
      <c r="B73">
        <v>1156</v>
      </c>
      <c r="C73">
        <v>68</v>
      </c>
      <c r="D73">
        <v>68</v>
      </c>
      <c r="E73">
        <f t="shared" si="2"/>
        <v>5345344</v>
      </c>
    </row>
    <row r="74" spans="1:5" x14ac:dyDescent="0.2">
      <c r="A74" t="s">
        <v>99</v>
      </c>
      <c r="B74">
        <v>1156</v>
      </c>
      <c r="C74">
        <v>68</v>
      </c>
      <c r="D74">
        <v>68</v>
      </c>
      <c r="E74">
        <f t="shared" si="2"/>
        <v>5345344</v>
      </c>
    </row>
    <row r="75" spans="1:5" x14ac:dyDescent="0.2">
      <c r="A75" t="s">
        <v>100</v>
      </c>
      <c r="B75">
        <v>1156</v>
      </c>
      <c r="C75">
        <v>68</v>
      </c>
      <c r="D75">
        <v>1156</v>
      </c>
      <c r="E75">
        <f t="shared" si="2"/>
        <v>90870848</v>
      </c>
    </row>
    <row r="76" spans="1:5" x14ac:dyDescent="0.2">
      <c r="A76" t="s">
        <v>101</v>
      </c>
      <c r="B76">
        <v>1156</v>
      </c>
      <c r="C76">
        <v>68</v>
      </c>
      <c r="D76">
        <v>4</v>
      </c>
      <c r="E76">
        <f t="shared" si="2"/>
        <v>314432</v>
      </c>
    </row>
    <row r="77" spans="1:5" x14ac:dyDescent="0.2">
      <c r="A77" t="s">
        <v>102</v>
      </c>
      <c r="B77">
        <v>1156</v>
      </c>
      <c r="C77">
        <v>68</v>
      </c>
      <c r="D77">
        <v>68</v>
      </c>
      <c r="E77">
        <f t="shared" si="2"/>
        <v>5345344</v>
      </c>
    </row>
    <row r="78" spans="1:5" x14ac:dyDescent="0.2">
      <c r="A78" t="s">
        <v>103</v>
      </c>
      <c r="B78">
        <v>1156</v>
      </c>
      <c r="C78">
        <v>68</v>
      </c>
      <c r="D78">
        <v>68</v>
      </c>
      <c r="E78">
        <f t="shared" si="2"/>
        <v>5345344</v>
      </c>
    </row>
    <row r="79" spans="1:5" x14ac:dyDescent="0.2">
      <c r="A79" t="s">
        <v>104</v>
      </c>
      <c r="B79">
        <v>1156</v>
      </c>
      <c r="C79">
        <v>68</v>
      </c>
      <c r="D79">
        <v>1156</v>
      </c>
      <c r="E79">
        <f t="shared" si="2"/>
        <v>90870848</v>
      </c>
    </row>
    <row r="80" spans="1:5" x14ac:dyDescent="0.2">
      <c r="A80" t="s">
        <v>105</v>
      </c>
      <c r="B80">
        <v>1156</v>
      </c>
      <c r="C80">
        <v>1156</v>
      </c>
      <c r="D80">
        <v>4</v>
      </c>
      <c r="E80">
        <f t="shared" si="2"/>
        <v>5345344</v>
      </c>
    </row>
    <row r="81" spans="1:5" x14ac:dyDescent="0.2">
      <c r="A81" t="s">
        <v>106</v>
      </c>
      <c r="B81">
        <v>1156</v>
      </c>
      <c r="C81">
        <v>1156</v>
      </c>
      <c r="D81">
        <v>68</v>
      </c>
      <c r="E81">
        <f t="shared" si="2"/>
        <v>90870848</v>
      </c>
    </row>
    <row r="82" spans="1:5" x14ac:dyDescent="0.2">
      <c r="A82" t="s">
        <v>107</v>
      </c>
      <c r="B82">
        <v>1156</v>
      </c>
      <c r="C82">
        <v>1156</v>
      </c>
      <c r="D82">
        <v>68</v>
      </c>
      <c r="E82">
        <f t="shared" si="2"/>
        <v>90870848</v>
      </c>
    </row>
    <row r="83" spans="1:5" x14ac:dyDescent="0.2">
      <c r="A83" t="s">
        <v>108</v>
      </c>
      <c r="B83">
        <v>1156</v>
      </c>
      <c r="C83">
        <v>1156</v>
      </c>
      <c r="D83">
        <v>1156</v>
      </c>
      <c r="E83">
        <f t="shared" si="2"/>
        <v>1544804416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zoomScale="63" zoomScaleNormal="63" workbookViewId="0">
      <selection activeCell="E12" sqref="E12"/>
    </sheetView>
  </sheetViews>
  <sheetFormatPr baseColWidth="10" defaultColWidth="10.5" defaultRowHeight="16" x14ac:dyDescent="0.2"/>
  <sheetData>
    <row r="1" spans="1:7" x14ac:dyDescent="0.2">
      <c r="A1" s="1" t="s">
        <v>0</v>
      </c>
      <c r="B1" s="1" t="s">
        <v>27</v>
      </c>
      <c r="C1" s="1" t="s">
        <v>5</v>
      </c>
      <c r="D1" s="1" t="s">
        <v>28</v>
      </c>
      <c r="E1" s="1" t="s">
        <v>29</v>
      </c>
      <c r="F1" s="1" t="s">
        <v>30</v>
      </c>
    </row>
    <row r="2" spans="1:7" x14ac:dyDescent="0.2">
      <c r="A2" s="2"/>
      <c r="B2" s="2" t="s">
        <v>11</v>
      </c>
      <c r="C2" s="2" t="s">
        <v>12</v>
      </c>
      <c r="D2" s="2" t="s">
        <v>13</v>
      </c>
      <c r="E2" s="2" t="s">
        <v>31</v>
      </c>
      <c r="F2" s="2" t="s">
        <v>32</v>
      </c>
      <c r="G2" s="2" t="s">
        <v>14</v>
      </c>
    </row>
    <row r="3" spans="1:7" x14ac:dyDescent="0.2">
      <c r="A3" s="2" t="s">
        <v>9</v>
      </c>
      <c r="B3" s="2">
        <v>1</v>
      </c>
      <c r="C3" s="2">
        <v>1</v>
      </c>
      <c r="D3" s="2">
        <v>1</v>
      </c>
      <c r="E3" s="2">
        <v>8</v>
      </c>
      <c r="F3" s="2">
        <v>14</v>
      </c>
      <c r="G3" s="2">
        <f>B3*C3*D3*E3*F3</f>
        <v>112</v>
      </c>
    </row>
    <row r="4" spans="1:7" x14ac:dyDescent="0.2">
      <c r="A4" s="2" t="s">
        <v>10</v>
      </c>
      <c r="B4" s="2">
        <v>1</v>
      </c>
      <c r="C4" s="2">
        <v>1</v>
      </c>
      <c r="D4" s="2">
        <v>14</v>
      </c>
      <c r="E4" s="2">
        <v>8</v>
      </c>
      <c r="F4" s="2">
        <v>14</v>
      </c>
      <c r="G4" s="2">
        <f>B4*C4*D4*E4*F4+G3</f>
        <v>1680</v>
      </c>
    </row>
    <row r="5" spans="1:7" x14ac:dyDescent="0.2">
      <c r="A5" s="2" t="s">
        <v>33</v>
      </c>
      <c r="B5" s="2">
        <v>1</v>
      </c>
      <c r="C5" s="2">
        <v>8</v>
      </c>
      <c r="D5" s="2">
        <v>14</v>
      </c>
      <c r="E5" s="2">
        <v>8</v>
      </c>
      <c r="F5" s="2">
        <v>14</v>
      </c>
      <c r="G5" s="2">
        <f>B5*C5*D5*E5*F5+G4</f>
        <v>14224</v>
      </c>
    </row>
    <row r="6" spans="1:7" x14ac:dyDescent="0.2">
      <c r="A6" s="2" t="s">
        <v>34</v>
      </c>
      <c r="B6" s="2">
        <v>14</v>
      </c>
      <c r="C6" s="2">
        <v>8</v>
      </c>
      <c r="D6" s="2">
        <v>14</v>
      </c>
      <c r="E6" s="2">
        <v>8</v>
      </c>
      <c r="F6" s="2">
        <v>14</v>
      </c>
      <c r="G6" s="2">
        <f>B6*C6*D6*E6*F6+G5</f>
        <v>189840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="63" zoomScaleNormal="63" workbookViewId="0">
      <selection activeCell="B13" sqref="B13"/>
    </sheetView>
  </sheetViews>
  <sheetFormatPr baseColWidth="10" defaultColWidth="10.5" defaultRowHeight="16" x14ac:dyDescent="0.2"/>
  <sheetData>
    <row r="1" spans="1:5" x14ac:dyDescent="0.2">
      <c r="A1" t="s">
        <v>15</v>
      </c>
      <c r="B1">
        <v>2</v>
      </c>
      <c r="C1">
        <v>28</v>
      </c>
      <c r="D1">
        <v>1</v>
      </c>
      <c r="E1">
        <f>B1*C1*D1*4</f>
        <v>224</v>
      </c>
    </row>
    <row r="2" spans="1:5" x14ac:dyDescent="0.2">
      <c r="A2" t="s">
        <v>16</v>
      </c>
      <c r="B2">
        <v>2</v>
      </c>
      <c r="C2">
        <v>168</v>
      </c>
      <c r="D2">
        <v>1</v>
      </c>
      <c r="E2">
        <f>B2*C2*D2*4+E1</f>
        <v>1568</v>
      </c>
    </row>
    <row r="3" spans="1:5" x14ac:dyDescent="0.2">
      <c r="A3" t="s">
        <v>17</v>
      </c>
      <c r="B3">
        <v>28</v>
      </c>
      <c r="C3">
        <v>28</v>
      </c>
      <c r="D3">
        <v>1</v>
      </c>
      <c r="E3">
        <f>B3*C3*D3*4+E2</f>
        <v>4704</v>
      </c>
    </row>
    <row r="4" spans="1:5" x14ac:dyDescent="0.2">
      <c r="A4" t="s">
        <v>18</v>
      </c>
      <c r="B4">
        <v>28</v>
      </c>
      <c r="C4">
        <v>168</v>
      </c>
      <c r="D4">
        <v>1</v>
      </c>
      <c r="E4">
        <f>B4*C4*D4*4+E3</f>
        <v>23520</v>
      </c>
    </row>
    <row r="5" spans="1:5" x14ac:dyDescent="0.2">
      <c r="A5" t="s">
        <v>23</v>
      </c>
      <c r="B5">
        <v>2</v>
      </c>
      <c r="C5">
        <v>28</v>
      </c>
      <c r="D5">
        <v>28</v>
      </c>
      <c r="E5">
        <f>B5*C5*D5*8+E4</f>
        <v>36064</v>
      </c>
    </row>
    <row r="6" spans="1:5" x14ac:dyDescent="0.2">
      <c r="A6" t="s">
        <v>24</v>
      </c>
      <c r="B6">
        <v>2</v>
      </c>
      <c r="C6">
        <v>28</v>
      </c>
      <c r="D6">
        <v>168</v>
      </c>
      <c r="E6">
        <f>B6*C6*D6*8+E5</f>
        <v>111328</v>
      </c>
    </row>
    <row r="7" spans="1:5" x14ac:dyDescent="0.2">
      <c r="A7" t="s">
        <v>25</v>
      </c>
      <c r="B7">
        <v>28</v>
      </c>
      <c r="C7">
        <v>28</v>
      </c>
      <c r="D7">
        <v>28</v>
      </c>
      <c r="E7">
        <f>B7*C7*D7*8+E6</f>
        <v>286944</v>
      </c>
    </row>
    <row r="8" spans="1:5" x14ac:dyDescent="0.2">
      <c r="A8" t="s">
        <v>26</v>
      </c>
      <c r="B8">
        <v>28</v>
      </c>
      <c r="C8">
        <v>28</v>
      </c>
      <c r="D8">
        <v>168</v>
      </c>
      <c r="E8">
        <f>B8*C8*D8*8+E7</f>
        <v>1340640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EnglishBH</vt:lpstr>
      <vt:lpstr>EnglishFD</vt:lpstr>
      <vt:lpstr>CantoneseBH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Ivy Zheng</dc:creator>
  <dc:description/>
  <cp:lastModifiedBy>Ivy Zheng</cp:lastModifiedBy>
  <cp:revision>3</cp:revision>
  <dcterms:created xsi:type="dcterms:W3CDTF">2025-02-24T06:16:06Z</dcterms:created>
  <dcterms:modified xsi:type="dcterms:W3CDTF">2026-04-16T03:21:29Z</dcterms:modified>
  <dc:language>en-HK</dc:language>
</cp:coreProperties>
</file>