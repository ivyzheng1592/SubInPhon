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tanceInPhonology/Seq2SeqModel/Dataset/"/>
    </mc:Choice>
  </mc:AlternateContent>
  <xr:revisionPtr revIDLastSave="0" documentId="13_ncr:1_{50518CC0-BC98-984C-9A1A-9914AD2B4518}" xr6:coauthVersionLast="47" xr6:coauthVersionMax="47" xr10:uidLastSave="{00000000-0000-0000-0000-000000000000}"/>
  <bookViews>
    <workbookView xWindow="-3780" yWindow="-17420" windowWidth="21760" windowHeight="15980" activeTab="1" xr2:uid="{365D76DA-B6A5-5443-BBA8-94D6013D0945}"/>
  </bookViews>
  <sheets>
    <sheet name="EnglishBH" sheetId="1" r:id="rId1"/>
    <sheet name="EnglishFD" sheetId="3" r:id="rId2"/>
    <sheet name="CantoneseBH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 s="1"/>
  <c r="G5" i="3" s="1"/>
  <c r="G6" i="3" s="1"/>
  <c r="E13" i="1"/>
  <c r="H9" i="1"/>
  <c r="H7" i="1"/>
  <c r="J7" i="1" s="1"/>
  <c r="J8" i="1" s="1"/>
  <c r="E8" i="1"/>
  <c r="J6" i="1"/>
  <c r="H13" i="1"/>
  <c r="H11" i="1"/>
  <c r="H8" i="1"/>
  <c r="H6" i="1"/>
  <c r="G13" i="1"/>
  <c r="G12" i="1"/>
  <c r="G9" i="1"/>
  <c r="G10" i="1"/>
  <c r="G11" i="1"/>
  <c r="G8" i="1"/>
  <c r="C13" i="1"/>
  <c r="C11" i="1"/>
  <c r="C6" i="1"/>
  <c r="C8" i="1"/>
  <c r="B11" i="1"/>
  <c r="B10" i="1"/>
  <c r="B9" i="1"/>
  <c r="B8" i="1"/>
  <c r="C9" i="1"/>
  <c r="C7" i="1"/>
  <c r="B12" i="1"/>
  <c r="B13" i="1"/>
  <c r="E6" i="1"/>
  <c r="E7" i="1" s="1"/>
  <c r="E9" i="1" s="1"/>
  <c r="E10" i="1" s="1"/>
  <c r="E11" i="1" s="1"/>
  <c r="E12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C4" i="1"/>
  <c r="D4" i="1"/>
  <c r="C2" i="1"/>
  <c r="D2" i="1"/>
  <c r="E2" i="1"/>
  <c r="C3" i="1"/>
  <c r="D3" i="1"/>
  <c r="E3" i="1"/>
  <c r="B3" i="1"/>
  <c r="B2" i="1"/>
  <c r="B4" i="1"/>
  <c r="E7" i="2"/>
  <c r="E8" i="2" s="1"/>
  <c r="E1" i="2"/>
  <c r="E2" i="2" s="1"/>
  <c r="E3" i="2" s="1"/>
  <c r="E4" i="2" s="1"/>
  <c r="E5" i="2" s="1"/>
  <c r="J9" i="1" l="1"/>
  <c r="J10" i="1" s="1"/>
  <c r="J11" i="1" s="1"/>
  <c r="J12" i="1" s="1"/>
  <c r="J13" i="1" s="1"/>
  <c r="E6" i="2"/>
</calcChain>
</file>

<file path=xl/sharedStrings.xml><?xml version="1.0" encoding="utf-8"?>
<sst xmlns="http://schemas.openxmlformats.org/spreadsheetml/2006/main" count="67" uniqueCount="47">
  <si>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</si>
  <si>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</si>
  <si>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</si>
  <si>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</si>
  <si>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</si>
  <si>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</si>
  <si>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</si>
  <si>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</si>
  <si>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</si>
  <si>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</si>
  <si>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CV.CV-CV</t>
  </si>
  <si>
    <t>CV.CV-CVC</t>
  </si>
  <si>
    <t>VC.V-CV</t>
  </si>
  <si>
    <t>VC.V-CVC</t>
  </si>
  <si>
    <t>CVC.V-CV</t>
  </si>
  <si>
    <t>CVC.V-CVC</t>
  </si>
  <si>
    <t>V.CVC-V</t>
  </si>
  <si>
    <t>CV.CVC-VC</t>
  </si>
  <si>
    <t>CV.CVC-V</t>
  </si>
  <si>
    <t>V.CVC-VC</t>
  </si>
  <si>
    <t>VC.VC-V</t>
  </si>
  <si>
    <t>VC.VC-VC</t>
  </si>
  <si>
    <t>CVC.VC-V</t>
  </si>
  <si>
    <t>CVC.VC-VC</t>
  </si>
  <si>
    <t>V</t>
  </si>
  <si>
    <t>2 front open</t>
  </si>
  <si>
    <t>2 front closed</t>
  </si>
  <si>
    <t>2 back open</t>
  </si>
  <si>
    <t>2 back closed</t>
  </si>
  <si>
    <t>CV</t>
  </si>
  <si>
    <t>VC</t>
  </si>
  <si>
    <t>CVC</t>
  </si>
  <si>
    <t>s1</t>
  </si>
  <si>
    <t>s2</t>
  </si>
  <si>
    <t>s3</t>
  </si>
  <si>
    <t>total</t>
  </si>
  <si>
    <t>C</t>
  </si>
  <si>
    <t>17 onset</t>
  </si>
  <si>
    <t>17 coda</t>
  </si>
  <si>
    <t>14 onset</t>
  </si>
  <si>
    <t>8 vowel</t>
  </si>
  <si>
    <t>7 voiceless coda</t>
  </si>
  <si>
    <t>7 voiced coda</t>
  </si>
  <si>
    <t>VCVC</t>
  </si>
  <si>
    <t>CVCVC</t>
  </si>
  <si>
    <t>s4</t>
  </si>
  <si>
    <t>s5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</si>
</sst>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1332D-0DA7-5B45-ADA1-5038D3A68A93}">
  <dimension ref="A1:J29"/>
  <sheetViews>
    <sheetView zoomScale="150" workbookViewId="0">
      <selection activeCell="B13" sqref="B13"/>
    </sheetView>
  </sheetViews>
  <sheetFormatPr baseColWidth="10" defaultRowHeight="16" x14ac:dyDescent="0.2"/>
  <cols>
    <col min="3" max="3" width="10.83203125" customWidth="1"/>
  </cols>
  <sheetData>
    <row r="1" spans="1:10" x14ac:dyDescent="0.2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36</v>
      </c>
      <c r="G1" s="2" t="s">
        <v>37</v>
      </c>
      <c r="H1" s="2" t="s">
        <v>38</v>
      </c>
    </row>
    <row r="2" spans="1:10" x14ac:dyDescent="0.2">
      <c r="A2" s="2" t="s">
        <v>29</v>
      </c>
      <c r="B2" s="2">
        <f>2*17</f>
        <v>34</v>
      </c>
      <c r="C2" s="2">
        <f t="shared" ref="C2:E3" si="0">2*17</f>
        <v>34</v>
      </c>
      <c r="D2" s="2">
        <f t="shared" si="0"/>
        <v>34</v>
      </c>
      <c r="E2" s="2">
        <f t="shared" si="0"/>
        <v>34</v>
      </c>
    </row>
    <row r="3" spans="1:10" x14ac:dyDescent="0.2">
      <c r="A3" s="2" t="s">
        <v>30</v>
      </c>
      <c r="B3" s="2">
        <f>2*17</f>
        <v>34</v>
      </c>
      <c r="C3" s="2">
        <f t="shared" si="0"/>
        <v>34</v>
      </c>
      <c r="D3" s="2">
        <f t="shared" si="0"/>
        <v>34</v>
      </c>
      <c r="E3" s="2">
        <f t="shared" si="0"/>
        <v>34</v>
      </c>
    </row>
    <row r="4" spans="1:10" x14ac:dyDescent="0.2">
      <c r="A4" s="2" t="s">
        <v>31</v>
      </c>
      <c r="B4" s="2">
        <f>17*2*17</f>
        <v>578</v>
      </c>
      <c r="C4" s="2">
        <f t="shared" ref="C4:D4" si="1">17*2*17</f>
        <v>578</v>
      </c>
      <c r="D4" s="2">
        <f t="shared" si="1"/>
        <v>578</v>
      </c>
      <c r="E4" s="2"/>
    </row>
    <row r="5" spans="1:10" x14ac:dyDescent="0.2">
      <c r="A5" s="1"/>
      <c r="B5" s="1" t="s">
        <v>32</v>
      </c>
      <c r="C5" s="1" t="s">
        <v>33</v>
      </c>
      <c r="D5" s="1" t="s">
        <v>34</v>
      </c>
      <c r="E5" s="1" t="s">
        <v>35</v>
      </c>
      <c r="G5" s="1" t="s">
        <v>32</v>
      </c>
      <c r="H5" s="1" t="s">
        <v>33</v>
      </c>
      <c r="I5" s="1" t="s">
        <v>34</v>
      </c>
      <c r="J5" s="1" t="s">
        <v>35</v>
      </c>
    </row>
    <row r="6" spans="1:10" x14ac:dyDescent="0.2">
      <c r="A6" s="1" t="s">
        <v>0</v>
      </c>
      <c r="B6" s="1">
        <v>4</v>
      </c>
      <c r="C6" s="1">
        <f>17*4</f>
        <v>68</v>
      </c>
      <c r="D6" s="1">
        <v>1</v>
      </c>
      <c r="E6" s="1">
        <f>B6*C6*D6</f>
        <v>272</v>
      </c>
      <c r="G6" s="1">
        <v>4</v>
      </c>
      <c r="H6" s="1">
        <f>17*2</f>
        <v>34</v>
      </c>
      <c r="I6" s="1">
        <v>1</v>
      </c>
      <c r="J6" s="1">
        <f>G6*H6*I6</f>
        <v>136</v>
      </c>
    </row>
    <row r="7" spans="1:10" x14ac:dyDescent="0.2">
      <c r="A7" s="1" t="s">
        <v>1</v>
      </c>
      <c r="B7" s="1">
        <v>4</v>
      </c>
      <c r="C7" s="1">
        <f>17*4*17</f>
        <v>1156</v>
      </c>
      <c r="D7" s="1">
        <v>1</v>
      </c>
      <c r="E7" s="1">
        <f t="shared" ref="E7:E29" si="2">B7*C7*D7+E6</f>
        <v>4896</v>
      </c>
      <c r="G7" s="1">
        <v>4</v>
      </c>
      <c r="H7" s="1">
        <f>17*4*17</f>
        <v>1156</v>
      </c>
      <c r="I7" s="1">
        <v>1</v>
      </c>
      <c r="J7" s="1">
        <f>G7*H7*I7+J6</f>
        <v>4760</v>
      </c>
    </row>
    <row r="8" spans="1:10" x14ac:dyDescent="0.2">
      <c r="A8" s="1" t="s">
        <v>2</v>
      </c>
      <c r="B8" s="1">
        <f>17*4</f>
        <v>68</v>
      </c>
      <c r="C8" s="1">
        <f>17*4</f>
        <v>68</v>
      </c>
      <c r="D8" s="1">
        <v>1</v>
      </c>
      <c r="E8" s="1">
        <f t="shared" si="2"/>
        <v>9520</v>
      </c>
      <c r="G8" s="1">
        <f>17*4</f>
        <v>68</v>
      </c>
      <c r="H8" s="1">
        <f>17*2</f>
        <v>34</v>
      </c>
      <c r="I8" s="1">
        <v>1</v>
      </c>
      <c r="J8" s="1">
        <f>G8*H8*I8+J7</f>
        <v>7072</v>
      </c>
    </row>
    <row r="9" spans="1:10" x14ac:dyDescent="0.2">
      <c r="A9" s="1" t="s">
        <v>3</v>
      </c>
      <c r="B9" s="1">
        <f>17*4</f>
        <v>68</v>
      </c>
      <c r="C9" s="1">
        <f>17*4*17</f>
        <v>1156</v>
      </c>
      <c r="D9" s="1">
        <v>1</v>
      </c>
      <c r="E9" s="1">
        <f t="shared" si="2"/>
        <v>88128</v>
      </c>
      <c r="G9" s="1">
        <f t="shared" ref="G9:G11" si="3">17*4</f>
        <v>68</v>
      </c>
      <c r="H9" s="1">
        <f>17*4*17</f>
        <v>1156</v>
      </c>
      <c r="I9" s="1">
        <v>1</v>
      </c>
      <c r="J9" s="1">
        <f>G9*H9*I9+J8</f>
        <v>85680</v>
      </c>
    </row>
    <row r="10" spans="1:10" x14ac:dyDescent="0.2">
      <c r="A10" s="1" t="s">
        <v>4</v>
      </c>
      <c r="B10" s="1">
        <f>17*4</f>
        <v>68</v>
      </c>
      <c r="C10" s="1">
        <v>4</v>
      </c>
      <c r="D10" s="1">
        <v>1</v>
      </c>
      <c r="E10" s="1">
        <f t="shared" si="2"/>
        <v>88400</v>
      </c>
      <c r="G10" s="1">
        <f t="shared" si="3"/>
        <v>68</v>
      </c>
      <c r="H10" s="1">
        <v>4</v>
      </c>
      <c r="I10" s="1">
        <v>1</v>
      </c>
      <c r="J10" s="1">
        <f>G10*H10*I10+J9</f>
        <v>85952</v>
      </c>
    </row>
    <row r="11" spans="1:10" x14ac:dyDescent="0.2">
      <c r="A11" s="1" t="s">
        <v>5</v>
      </c>
      <c r="B11" s="1">
        <f>17*4</f>
        <v>68</v>
      </c>
      <c r="C11" s="1">
        <f>17*4</f>
        <v>68</v>
      </c>
      <c r="D11" s="1">
        <v>1</v>
      </c>
      <c r="E11" s="1">
        <f t="shared" si="2"/>
        <v>93024</v>
      </c>
      <c r="G11" s="1">
        <f t="shared" si="3"/>
        <v>68</v>
      </c>
      <c r="H11" s="1">
        <f>17*2</f>
        <v>34</v>
      </c>
      <c r="I11" s="1">
        <v>1</v>
      </c>
      <c r="J11" s="1">
        <f t="shared" ref="J11:J12" si="4">G11*H11*I11+J10</f>
        <v>88264</v>
      </c>
    </row>
    <row r="12" spans="1:10" x14ac:dyDescent="0.2">
      <c r="A12" s="1" t="s">
        <v>6</v>
      </c>
      <c r="B12" s="1">
        <f>17*4*17</f>
        <v>1156</v>
      </c>
      <c r="C12" s="1">
        <v>4</v>
      </c>
      <c r="D12" s="1">
        <v>1</v>
      </c>
      <c r="E12" s="1">
        <f t="shared" si="2"/>
        <v>97648</v>
      </c>
      <c r="G12" s="1">
        <f>17*4*17</f>
        <v>1156</v>
      </c>
      <c r="H12" s="1">
        <v>4</v>
      </c>
      <c r="I12" s="1">
        <v>1</v>
      </c>
      <c r="J12" s="1">
        <f t="shared" si="4"/>
        <v>92888</v>
      </c>
    </row>
    <row r="13" spans="1:10" x14ac:dyDescent="0.2">
      <c r="A13" s="1" t="s">
        <v>7</v>
      </c>
      <c r="B13" s="1">
        <f>17*4*17</f>
        <v>1156</v>
      </c>
      <c r="C13" s="1">
        <f>17*4</f>
        <v>68</v>
      </c>
      <c r="D13" s="1">
        <v>1</v>
      </c>
      <c r="E13" s="1">
        <f>B13*C13*D13+E12</f>
        <v>176256</v>
      </c>
      <c r="G13" s="1">
        <f>17*4*17</f>
        <v>1156</v>
      </c>
      <c r="H13" s="1">
        <f>17*2</f>
        <v>34</v>
      </c>
      <c r="I13" s="1">
        <v>1</v>
      </c>
      <c r="J13" s="1">
        <f>G13*H13*I13+J12</f>
        <v>132192</v>
      </c>
    </row>
    <row r="14" spans="1:10" x14ac:dyDescent="0.2">
      <c r="A14" t="s">
        <v>8</v>
      </c>
      <c r="B14">
        <v>4</v>
      </c>
      <c r="C14">
        <v>68</v>
      </c>
      <c r="D14">
        <v>68</v>
      </c>
      <c r="E14">
        <f t="shared" si="2"/>
        <v>194752</v>
      </c>
    </row>
    <row r="15" spans="1:10" x14ac:dyDescent="0.2">
      <c r="A15" t="s">
        <v>9</v>
      </c>
      <c r="B15">
        <v>4</v>
      </c>
      <c r="C15">
        <v>68</v>
      </c>
      <c r="D15">
        <v>1156</v>
      </c>
      <c r="E15">
        <f t="shared" si="2"/>
        <v>509184</v>
      </c>
    </row>
    <row r="16" spans="1:10" x14ac:dyDescent="0.2">
      <c r="A16" t="s">
        <v>16</v>
      </c>
      <c r="B16">
        <v>4</v>
      </c>
      <c r="C16">
        <v>1156</v>
      </c>
      <c r="D16">
        <v>4</v>
      </c>
      <c r="E16">
        <f t="shared" si="2"/>
        <v>527680</v>
      </c>
    </row>
    <row r="17" spans="1:5" x14ac:dyDescent="0.2">
      <c r="A17" t="s">
        <v>19</v>
      </c>
      <c r="B17">
        <v>4</v>
      </c>
      <c r="C17">
        <v>1156</v>
      </c>
      <c r="D17">
        <v>68</v>
      </c>
      <c r="E17">
        <f t="shared" si="2"/>
        <v>842112</v>
      </c>
    </row>
    <row r="18" spans="1:5" x14ac:dyDescent="0.2">
      <c r="A18" t="s">
        <v>10</v>
      </c>
      <c r="B18">
        <v>68</v>
      </c>
      <c r="C18">
        <v>68</v>
      </c>
      <c r="D18">
        <v>68</v>
      </c>
      <c r="E18">
        <f t="shared" si="2"/>
        <v>1156544</v>
      </c>
    </row>
    <row r="19" spans="1:5" x14ac:dyDescent="0.2">
      <c r="A19" t="s">
        <v>11</v>
      </c>
      <c r="B19">
        <v>68</v>
      </c>
      <c r="C19">
        <v>68</v>
      </c>
      <c r="D19">
        <v>1156</v>
      </c>
      <c r="E19">
        <f t="shared" si="2"/>
        <v>6501888</v>
      </c>
    </row>
    <row r="20" spans="1:5" x14ac:dyDescent="0.2">
      <c r="A20" t="s">
        <v>18</v>
      </c>
      <c r="B20">
        <v>68</v>
      </c>
      <c r="C20">
        <v>1156</v>
      </c>
      <c r="D20">
        <v>4</v>
      </c>
      <c r="E20">
        <f t="shared" si="2"/>
        <v>6816320</v>
      </c>
    </row>
    <row r="21" spans="1:5" x14ac:dyDescent="0.2">
      <c r="A21" t="s">
        <v>17</v>
      </c>
      <c r="B21">
        <v>68</v>
      </c>
      <c r="C21">
        <v>1156</v>
      </c>
      <c r="D21">
        <v>68</v>
      </c>
      <c r="E21">
        <f t="shared" si="2"/>
        <v>12161664</v>
      </c>
    </row>
    <row r="22" spans="1:5" x14ac:dyDescent="0.2">
      <c r="A22" t="s">
        <v>12</v>
      </c>
      <c r="B22">
        <v>68</v>
      </c>
      <c r="C22">
        <v>4</v>
      </c>
      <c r="D22">
        <v>68</v>
      </c>
      <c r="E22">
        <f t="shared" si="2"/>
        <v>12180160</v>
      </c>
    </row>
    <row r="23" spans="1:5" x14ac:dyDescent="0.2">
      <c r="A23" t="s">
        <v>13</v>
      </c>
      <c r="B23">
        <v>68</v>
      </c>
      <c r="C23">
        <v>4</v>
      </c>
      <c r="D23">
        <v>1156</v>
      </c>
      <c r="E23">
        <f t="shared" si="2"/>
        <v>12494592</v>
      </c>
    </row>
    <row r="24" spans="1:5" x14ac:dyDescent="0.2">
      <c r="A24" t="s">
        <v>20</v>
      </c>
      <c r="B24">
        <v>68</v>
      </c>
      <c r="C24">
        <v>68</v>
      </c>
      <c r="D24">
        <v>4</v>
      </c>
      <c r="E24">
        <f t="shared" si="2"/>
        <v>12513088</v>
      </c>
    </row>
    <row r="25" spans="1:5" x14ac:dyDescent="0.2">
      <c r="A25" t="s">
        <v>21</v>
      </c>
      <c r="B25">
        <v>68</v>
      </c>
      <c r="C25">
        <v>68</v>
      </c>
      <c r="D25">
        <v>68</v>
      </c>
      <c r="E25">
        <f t="shared" si="2"/>
        <v>12827520</v>
      </c>
    </row>
    <row r="26" spans="1:5" x14ac:dyDescent="0.2">
      <c r="A26" t="s">
        <v>14</v>
      </c>
      <c r="B26">
        <v>1156</v>
      </c>
      <c r="C26">
        <v>4</v>
      </c>
      <c r="D26">
        <v>68</v>
      </c>
      <c r="E26">
        <f t="shared" si="2"/>
        <v>13141952</v>
      </c>
    </row>
    <row r="27" spans="1:5" x14ac:dyDescent="0.2">
      <c r="A27" t="s">
        <v>15</v>
      </c>
      <c r="B27">
        <v>1156</v>
      </c>
      <c r="C27">
        <v>4</v>
      </c>
      <c r="D27">
        <v>1156</v>
      </c>
      <c r="E27">
        <f t="shared" si="2"/>
        <v>18487296</v>
      </c>
    </row>
    <row r="28" spans="1:5" x14ac:dyDescent="0.2">
      <c r="A28" t="s">
        <v>22</v>
      </c>
      <c r="B28">
        <v>1156</v>
      </c>
      <c r="C28">
        <v>68</v>
      </c>
      <c r="D28">
        <v>4</v>
      </c>
      <c r="E28">
        <f t="shared" si="2"/>
        <v>18801728</v>
      </c>
    </row>
    <row r="29" spans="1:5" x14ac:dyDescent="0.2">
      <c r="A29" t="s">
        <v>23</v>
      </c>
      <c r="B29">
        <v>1156</v>
      </c>
      <c r="C29">
        <v>68</v>
      </c>
      <c r="D29">
        <v>68</v>
      </c>
      <c r="E29">
        <f t="shared" si="2"/>
        <v>24147072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C4378-3A0A-2749-A59B-9F52507C3F19}">
  <dimension ref="A1:K14"/>
  <sheetViews>
    <sheetView tabSelected="1" zoomScale="150" workbookViewId="0">
      <selection activeCell="G3" sqref="G3"/>
    </sheetView>
  </sheetViews>
  <sheetFormatPr baseColWidth="10" defaultRowHeight="16" x14ac:dyDescent="0.2"/>
  <sheetData>
    <row r="1" spans="1:11" x14ac:dyDescent="0.2">
      <c r="A1" s="2" t="s">
        <v>24</v>
      </c>
      <c r="B1" s="2" t="s">
        <v>40</v>
      </c>
      <c r="C1" s="2" t="s">
        <v>36</v>
      </c>
      <c r="D1" s="2" t="s">
        <v>39</v>
      </c>
      <c r="E1" s="2" t="s">
        <v>41</v>
      </c>
      <c r="F1" s="2" t="s">
        <v>42</v>
      </c>
    </row>
    <row r="2" spans="1:11" x14ac:dyDescent="0.2">
      <c r="A2" s="1"/>
      <c r="B2" s="1" t="s">
        <v>32</v>
      </c>
      <c r="C2" s="1" t="s">
        <v>33</v>
      </c>
      <c r="D2" s="1" t="s">
        <v>34</v>
      </c>
      <c r="E2" s="1" t="s">
        <v>45</v>
      </c>
      <c r="F2" s="1" t="s">
        <v>46</v>
      </c>
      <c r="G2" s="1" t="s">
        <v>35</v>
      </c>
    </row>
    <row r="3" spans="1:11" x14ac:dyDescent="0.2">
      <c r="A3" s="1" t="s">
        <v>30</v>
      </c>
      <c r="B3" s="1">
        <v>1</v>
      </c>
      <c r="C3" s="1">
        <v>1</v>
      </c>
      <c r="D3" s="1">
        <v>1</v>
      </c>
      <c r="E3" s="1">
        <v>8</v>
      </c>
      <c r="F3" s="1">
        <v>14</v>
      </c>
      <c r="G3" s="1">
        <f>B3*C3*D3*E3*F3</f>
        <v>112</v>
      </c>
    </row>
    <row r="4" spans="1:11" x14ac:dyDescent="0.2">
      <c r="A4" s="1" t="s">
        <v>31</v>
      </c>
      <c r="B4" s="1">
        <v>1</v>
      </c>
      <c r="C4" s="1">
        <v>1</v>
      </c>
      <c r="D4" s="1">
        <v>14</v>
      </c>
      <c r="E4" s="1">
        <v>8</v>
      </c>
      <c r="F4" s="1">
        <v>14</v>
      </c>
      <c r="G4" s="1">
        <f>B4*C4*D4*E4*F4+G3</f>
        <v>1680</v>
      </c>
    </row>
    <row r="5" spans="1:11" x14ac:dyDescent="0.2">
      <c r="A5" s="1" t="s">
        <v>43</v>
      </c>
      <c r="B5" s="1">
        <v>1</v>
      </c>
      <c r="C5" s="1">
        <v>8</v>
      </c>
      <c r="D5" s="1">
        <v>14</v>
      </c>
      <c r="E5" s="1">
        <v>8</v>
      </c>
      <c r="F5" s="1">
        <v>14</v>
      </c>
      <c r="G5" s="1">
        <f>B5*C5*D5*E5*F5+G4</f>
        <v>14224</v>
      </c>
    </row>
    <row r="6" spans="1:11" x14ac:dyDescent="0.2">
      <c r="A6" s="1" t="s">
        <v>44</v>
      </c>
      <c r="B6" s="1">
        <v>14</v>
      </c>
      <c r="C6" s="1">
        <v>8</v>
      </c>
      <c r="D6" s="1">
        <v>14</v>
      </c>
      <c r="E6" s="1">
        <v>8</v>
      </c>
      <c r="F6" s="1">
        <v>14</v>
      </c>
      <c r="G6" s="1">
        <f>B6*C6*D6*E6*F6+G5</f>
        <v>189840</v>
      </c>
      <c r="H6" s="3"/>
      <c r="I6" s="3"/>
      <c r="J6" s="3"/>
      <c r="K6" s="3"/>
    </row>
    <row r="7" spans="1:11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F9FE-FDE3-3847-837A-D6395835C688}">
  <dimension ref="A1:E8"/>
  <sheetViews>
    <sheetView zoomScale="166" workbookViewId="0">
      <selection activeCell="B13" sqref="B13"/>
    </sheetView>
  </sheetViews>
  <sheetFormatPr baseColWidth="10" defaultRowHeight="16" x14ac:dyDescent="0.2"/>
  <sheetData>
    <row r="1" spans="1:5" x14ac:dyDescent="0.2">
      <c r="A1" t="s">
        <v>0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2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3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8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9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10</v>
      </c>
      <c r="B7">
        <v>28</v>
      </c>
      <c r="C7">
        <v>28</v>
      </c>
      <c r="D7">
        <v>28</v>
      </c>
      <c r="E7">
        <f t="shared" ref="E7:E8" si="0">B7*C7*D7*8+E6</f>
        <v>286944</v>
      </c>
    </row>
    <row r="8" spans="1:5" x14ac:dyDescent="0.2">
      <c r="A8" t="s">
        <v>11</v>
      </c>
      <c r="B8">
        <v>28</v>
      </c>
      <c r="C8">
        <v>28</v>
      </c>
      <c r="D8">
        <v>168</v>
      </c>
      <c r="E8">
        <f t="shared" si="0"/>
        <v>1340640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EnglishBH</vt:lpstr>
      <vt:lpstr>EnglishFD</vt:lpstr>
      <vt:lpstr>CantoneseBH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Zheng</dc:creator>
  <cp:lastModifiedBy>Ivy Zheng</cp:lastModifiedBy>
  <dcterms:created xsi:type="dcterms:W3CDTF">2025-02-24T06:16:06Z</dcterms:created>
  <dcterms:modified xsi:type="dcterms:W3CDTF">2025-08-21T13:31:48Z</dcterms:modified>
</cp:coreProperties>
</file>