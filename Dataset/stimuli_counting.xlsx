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glishBH" sheetId="1" state="visible" r:id="rId2"/>
    <sheet name="EnglishFD" sheetId="2" state="visible" r:id="rId3"/>
    <sheet name="CantoneseBH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<sst xmlns="http://schemas.openxmlformats.org/spreadsheetml/2006/main" count="77" uniqueCount="47">
  <si>
    <t xml:space="preserve">V</t>
  </si>
  <si>
    <t xml:space="preserve">2 front open</t>
  </si>
  <si>
    <t xml:space="preserve">2 front closed</t>
  </si>
  <si>
    <t xml:space="preserve">2 back open</t>
  </si>
  <si>
    <t xml:space="preserve">2 back closed</t>
  </si>
  <si>
    <t xml:space="preserve">C</t>
  </si>
  <si>
    <t xml:space="preserve">17 onset</t>
  </si>
  <si>
    <t xml:space="preserve">17 coda</t>
  </si>
  <si>
    <t xml:space="preserve">CV</t>
  </si>
  <si>
    <t xml:space="preserve">VC</t>
  </si>
  <si>
    <t xml:space="preserve">CVC</t>
  </si>
  <si>
    <t xml:space="preserve">s1</t>
  </si>
  <si>
    <t xml:space="preserve">s2</t>
  </si>
  <si>
    <t xml:space="preserve">s3</t>
  </si>
  <si>
    <t xml:space="preserve">total</t>
  </si>
  <si>
    <t xml:space="preserve">V-CV</t>
  </si>
  <si>
    <t xml:space="preserve">V-CVC</t>
  </si>
  <si>
    <t xml:space="preserve">CV-CV</t>
  </si>
  <si>
    <t xml:space="preserve">CV-CVC</t>
  </si>
  <si>
    <t xml:space="preserve">VC-V</t>
  </si>
  <si>
    <t xml:space="preserve">VC-VC</t>
  </si>
  <si>
    <t xml:space="preserve">CVC-V</t>
  </si>
  <si>
    <t xml:space="preserve">CVC-VC</t>
  </si>
  <si>
    <t xml:space="preserve">V.CV-CV</t>
  </si>
  <si>
    <t xml:space="preserve">V.CV-CVC</t>
  </si>
  <si>
    <t xml:space="preserve">V.CVC-V</t>
  </si>
  <si>
    <t xml:space="preserve">V.CVC-VC</t>
  </si>
  <si>
    <t xml:space="preserve">CV.CV-CV</t>
  </si>
  <si>
    <t xml:space="preserve">CV.CV-CVC</t>
  </si>
  <si>
    <t xml:space="preserve">CV.CVC-V</t>
  </si>
  <si>
    <t xml:space="preserve">CV.CVC-VC</t>
  </si>
  <si>
    <t xml:space="preserve">VC.V-CV</t>
  </si>
  <si>
    <t xml:space="preserve">VC.V-CVC</t>
  </si>
  <si>
    <t xml:space="preserve">VC.VC-V</t>
  </si>
  <si>
    <t xml:space="preserve">VC.VC-VC</t>
  </si>
  <si>
    <t xml:space="preserve">CVC.V-CV</t>
  </si>
  <si>
    <t xml:space="preserve">CVC.V-CVC</t>
  </si>
  <si>
    <t xml:space="preserve">CVC.VC-V</t>
  </si>
  <si>
    <t xml:space="preserve">CVC.VC-VC</t>
  </si>
  <si>
    <t xml:space="preserve">8 vowel</t>
  </si>
  <si>
    <t xml:space="preserve">14 onset</t>
  </si>
  <si>
    <t xml:space="preserve">7 voiceless coda</t>
  </si>
  <si>
    <t xml:space="preserve">7 voiced coda</t>
  </si>
  <si>
    <t xml:space="preserve">s4</t>
  </si>
  <si>
    <t xml:space="preserve">s5</t>
  </si>
  <si>
    <t xml:space="preserve">VCVC</t>
  </si>
  <si>
    <t xml:space="preserve">CVCVC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</si>
</sst>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selection pane="topLeft" activeCell="P12" activeCellId="0" sqref="P12"/>
    </sheetView>
  </sheetViews>
  <sheetFormatPr defaultColWidth="10.51171875" defaultRowHeight="15.75" zeroHeight="false" outlineLevelRow="0" outlineLevelCol="0"/>
  <cols>
    <col collapsed="false" customWidth="true" hidden="false" outlineLevel="0" max="3" min="3" style="0" width="10.8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.75" hidden="false" customHeight="false" outlineLevel="0" collapsed="false">
      <c r="A2" s="1" t="s">
        <v>8</v>
      </c>
      <c r="B2" s="1" t="n">
        <f aca="false">2*17</f>
        <v>34</v>
      </c>
      <c r="C2" s="1" t="n">
        <f aca="false">2*17</f>
        <v>34</v>
      </c>
      <c r="D2" s="1" t="n">
        <f aca="false">2*17</f>
        <v>34</v>
      </c>
      <c r="E2" s="1" t="n">
        <f aca="false">2*17</f>
        <v>34</v>
      </c>
    </row>
    <row r="3" customFormat="false" ht="15.75" hidden="false" customHeight="false" outlineLevel="0" collapsed="false">
      <c r="A3" s="1" t="s">
        <v>9</v>
      </c>
      <c r="B3" s="1" t="n">
        <f aca="false">2*17</f>
        <v>34</v>
      </c>
      <c r="C3" s="1" t="n">
        <f aca="false">2*17</f>
        <v>34</v>
      </c>
      <c r="D3" s="1" t="n">
        <f aca="false">2*17</f>
        <v>34</v>
      </c>
      <c r="E3" s="1" t="n">
        <f aca="false">2*17</f>
        <v>34</v>
      </c>
    </row>
    <row r="4" customFormat="false" ht="15.75" hidden="false" customHeight="false" outlineLevel="0" collapsed="false">
      <c r="A4" s="1" t="s">
        <v>10</v>
      </c>
      <c r="B4" s="1" t="n">
        <f aca="false">17*2*17</f>
        <v>578</v>
      </c>
      <c r="C4" s="1" t="n">
        <f aca="false">17*2*17</f>
        <v>578</v>
      </c>
      <c r="D4" s="1" t="n">
        <f aca="false">17*2*17</f>
        <v>578</v>
      </c>
      <c r="E4" s="1"/>
    </row>
    <row r="5" customFormat="false" ht="15" hidden="false" customHeight="false" outlineLevel="0" collapsed="false">
      <c r="A5" s="2"/>
      <c r="B5" s="2" t="s">
        <v>11</v>
      </c>
      <c r="C5" s="2" t="s">
        <v>12</v>
      </c>
      <c r="D5" s="2" t="s">
        <v>13</v>
      </c>
      <c r="E5" s="2" t="s">
        <v>14</v>
      </c>
      <c r="G5" s="2" t="s">
        <v>11</v>
      </c>
      <c r="H5" s="2" t="s">
        <v>12</v>
      </c>
      <c r="I5" s="2" t="s">
        <v>13</v>
      </c>
      <c r="J5" s="2" t="s">
        <v>14</v>
      </c>
      <c r="L5" s="2"/>
      <c r="M5" s="2" t="s">
        <v>11</v>
      </c>
      <c r="N5" s="2" t="s">
        <v>12</v>
      </c>
      <c r="O5" s="2" t="s">
        <v>13</v>
      </c>
      <c r="P5" s="2" t="s">
        <v>14</v>
      </c>
    </row>
    <row r="6" customFormat="false" ht="15" hidden="false" customHeight="false" outlineLevel="0" collapsed="false">
      <c r="A6" s="2" t="s">
        <v>15</v>
      </c>
      <c r="B6" s="2" t="n">
        <v>4</v>
      </c>
      <c r="C6" s="2" t="n">
        <f aca="false">17*4</f>
        <v>68</v>
      </c>
      <c r="D6" s="2" t="n">
        <v>1</v>
      </c>
      <c r="E6" s="2" t="n">
        <f aca="false">B6*C6*D6</f>
        <v>272</v>
      </c>
      <c r="G6" s="2" t="n">
        <v>4</v>
      </c>
      <c r="H6" s="2" t="n">
        <f aca="false">17*2</f>
        <v>34</v>
      </c>
      <c r="I6" s="2" t="n">
        <v>1</v>
      </c>
      <c r="J6" s="2" t="n">
        <f aca="false">G6*H6*I6</f>
        <v>136</v>
      </c>
      <c r="L6" s="2" t="s">
        <v>15</v>
      </c>
      <c r="M6" s="2" t="n">
        <v>4</v>
      </c>
      <c r="N6" s="2" t="n">
        <f aca="false">17*4</f>
        <v>68</v>
      </c>
      <c r="O6" s="2" t="n">
        <v>1</v>
      </c>
      <c r="P6" s="2" t="n">
        <f aca="false">M6*N6*O6</f>
        <v>272</v>
      </c>
    </row>
    <row r="7" customFormat="false" ht="15" hidden="false" customHeight="false" outlineLevel="0" collapsed="false">
      <c r="A7" s="2" t="s">
        <v>16</v>
      </c>
      <c r="B7" s="2" t="n">
        <v>4</v>
      </c>
      <c r="C7" s="2" t="n">
        <f aca="false">17*4*17</f>
        <v>1156</v>
      </c>
      <c r="D7" s="2" t="n">
        <v>1</v>
      </c>
      <c r="E7" s="2" t="n">
        <f aca="false">B7*C7*D7+E6</f>
        <v>4896</v>
      </c>
      <c r="G7" s="2" t="n">
        <v>4</v>
      </c>
      <c r="H7" s="2" t="n">
        <f aca="false">17*4*17</f>
        <v>1156</v>
      </c>
      <c r="I7" s="2" t="n">
        <v>1</v>
      </c>
      <c r="J7" s="2" t="n">
        <f aca="false">G7*H7*I7+J6</f>
        <v>4760</v>
      </c>
      <c r="L7" s="2" t="s">
        <v>16</v>
      </c>
      <c r="M7" s="2" t="n">
        <v>4</v>
      </c>
      <c r="N7" s="2" t="n">
        <f aca="false">17*4*17</f>
        <v>1156</v>
      </c>
      <c r="O7" s="2" t="n">
        <v>1</v>
      </c>
      <c r="P7" s="2" t="n">
        <f aca="false">M7*N7*O7+P6</f>
        <v>4896</v>
      </c>
    </row>
    <row r="8" customFormat="false" ht="15" hidden="false" customHeight="false" outlineLevel="0" collapsed="false">
      <c r="A8" s="2" t="s">
        <v>17</v>
      </c>
      <c r="B8" s="2" t="n">
        <f aca="false">17*4</f>
        <v>68</v>
      </c>
      <c r="C8" s="2" t="n">
        <f aca="false">17*4</f>
        <v>68</v>
      </c>
      <c r="D8" s="2" t="n">
        <v>1</v>
      </c>
      <c r="E8" s="2" t="n">
        <f aca="false">B8*C8*D8+E7</f>
        <v>9520</v>
      </c>
      <c r="G8" s="2" t="n">
        <f aca="false">17*4</f>
        <v>68</v>
      </c>
      <c r="H8" s="2" t="n">
        <f aca="false">17*2</f>
        <v>34</v>
      </c>
      <c r="I8" s="2" t="n">
        <v>1</v>
      </c>
      <c r="J8" s="2" t="n">
        <f aca="false">G8*H8*I8+J7</f>
        <v>7072</v>
      </c>
      <c r="L8" s="2" t="s">
        <v>17</v>
      </c>
      <c r="M8" s="2" t="n">
        <f aca="false">17*4</f>
        <v>68</v>
      </c>
      <c r="N8" s="2" t="n">
        <f aca="false">17*4</f>
        <v>68</v>
      </c>
      <c r="O8" s="2" t="n">
        <v>1</v>
      </c>
      <c r="P8" s="2" t="n">
        <f aca="false">M8*N8*O8+P7</f>
        <v>9520</v>
      </c>
    </row>
    <row r="9" customFormat="false" ht="15" hidden="false" customHeight="false" outlineLevel="0" collapsed="false">
      <c r="A9" s="2" t="s">
        <v>18</v>
      </c>
      <c r="B9" s="2" t="n">
        <f aca="false">17*4</f>
        <v>68</v>
      </c>
      <c r="C9" s="2" t="n">
        <f aca="false">17*4*17</f>
        <v>1156</v>
      </c>
      <c r="D9" s="2" t="n">
        <v>1</v>
      </c>
      <c r="E9" s="2" t="n">
        <f aca="false">B9*C9*D9+E8</f>
        <v>88128</v>
      </c>
      <c r="G9" s="2" t="n">
        <f aca="false">17*4</f>
        <v>68</v>
      </c>
      <c r="H9" s="2" t="n">
        <f aca="false">17*4*17</f>
        <v>1156</v>
      </c>
      <c r="I9" s="2" t="n">
        <v>1</v>
      </c>
      <c r="J9" s="2" t="n">
        <f aca="false">G9*H9*I9+J8</f>
        <v>85680</v>
      </c>
      <c r="L9" s="2" t="s">
        <v>19</v>
      </c>
      <c r="M9" s="2" t="n">
        <f aca="false">17*4</f>
        <v>68</v>
      </c>
      <c r="N9" s="2" t="n">
        <v>4</v>
      </c>
      <c r="O9" s="2" t="n">
        <v>1</v>
      </c>
      <c r="P9" s="2" t="n">
        <f aca="false">M9*N9*O9+P8</f>
        <v>9792</v>
      </c>
    </row>
    <row r="10" customFormat="false" ht="15" hidden="false" customHeight="false" outlineLevel="0" collapsed="false">
      <c r="A10" s="2" t="s">
        <v>19</v>
      </c>
      <c r="B10" s="2" t="n">
        <f aca="false">17*4</f>
        <v>68</v>
      </c>
      <c r="C10" s="2" t="n">
        <v>4</v>
      </c>
      <c r="D10" s="2" t="n">
        <v>1</v>
      </c>
      <c r="E10" s="2" t="n">
        <f aca="false">B10*C10*D10+E9</f>
        <v>88400</v>
      </c>
      <c r="G10" s="2" t="n">
        <f aca="false">17*4</f>
        <v>68</v>
      </c>
      <c r="H10" s="2" t="n">
        <v>4</v>
      </c>
      <c r="I10" s="2" t="n">
        <v>1</v>
      </c>
      <c r="J10" s="2" t="n">
        <f aca="false">G10*H10*I10+J9</f>
        <v>85952</v>
      </c>
      <c r="L10" s="2" t="s">
        <v>20</v>
      </c>
      <c r="M10" s="2" t="n">
        <f aca="false">17*4</f>
        <v>68</v>
      </c>
      <c r="N10" s="2" t="n">
        <f aca="false">17*4</f>
        <v>68</v>
      </c>
      <c r="O10" s="2" t="n">
        <v>1</v>
      </c>
      <c r="P10" s="2" t="n">
        <f aca="false">M10*N10*O10+P9</f>
        <v>14416</v>
      </c>
    </row>
    <row r="11" customFormat="false" ht="15" hidden="false" customHeight="false" outlineLevel="0" collapsed="false">
      <c r="A11" s="2" t="s">
        <v>20</v>
      </c>
      <c r="B11" s="2" t="n">
        <f aca="false">17*4</f>
        <v>68</v>
      </c>
      <c r="C11" s="2" t="n">
        <f aca="false">17*4</f>
        <v>68</v>
      </c>
      <c r="D11" s="2" t="n">
        <v>1</v>
      </c>
      <c r="E11" s="2" t="n">
        <f aca="false">B11*C11*D11+E10</f>
        <v>93024</v>
      </c>
      <c r="G11" s="2" t="n">
        <f aca="false">17*4</f>
        <v>68</v>
      </c>
      <c r="H11" s="2" t="n">
        <f aca="false">17*2</f>
        <v>34</v>
      </c>
      <c r="I11" s="2" t="n">
        <v>1</v>
      </c>
      <c r="J11" s="2" t="n">
        <f aca="false">G11*H11*I11+J10</f>
        <v>88264</v>
      </c>
      <c r="L11" s="2" t="s">
        <v>21</v>
      </c>
      <c r="M11" s="2" t="n">
        <f aca="false">17*4*17</f>
        <v>1156</v>
      </c>
      <c r="N11" s="2" t="n">
        <v>4</v>
      </c>
      <c r="O11" s="2" t="n">
        <v>1</v>
      </c>
      <c r="P11" s="2" t="n">
        <f aca="false">M11*N11*O11+P10</f>
        <v>19040</v>
      </c>
    </row>
    <row r="12" customFormat="false" ht="15" hidden="false" customHeight="false" outlineLevel="0" collapsed="false">
      <c r="A12" s="2" t="s">
        <v>21</v>
      </c>
      <c r="B12" s="2" t="n">
        <f aca="false">17*4*17</f>
        <v>1156</v>
      </c>
      <c r="C12" s="2" t="n">
        <v>4</v>
      </c>
      <c r="D12" s="2" t="n">
        <v>1</v>
      </c>
      <c r="E12" s="2" t="n">
        <f aca="false">B12*C12*D12+E11</f>
        <v>97648</v>
      </c>
      <c r="G12" s="2" t="n">
        <f aca="false">17*4*17</f>
        <v>1156</v>
      </c>
      <c r="H12" s="2" t="n">
        <v>4</v>
      </c>
      <c r="I12" s="2" t="n">
        <v>1</v>
      </c>
      <c r="J12" s="2" t="n">
        <f aca="false">G12*H12*I12+J11</f>
        <v>92888</v>
      </c>
    </row>
    <row r="13" customFormat="false" ht="15" hidden="false" customHeight="false" outlineLevel="0" collapsed="false">
      <c r="A13" s="2" t="s">
        <v>22</v>
      </c>
      <c r="B13" s="2" t="n">
        <f aca="false">17*4*17</f>
        <v>1156</v>
      </c>
      <c r="C13" s="2" t="n">
        <f aca="false">17*4</f>
        <v>68</v>
      </c>
      <c r="D13" s="2" t="n">
        <v>1</v>
      </c>
      <c r="E13" s="2" t="n">
        <f aca="false">B13*C13*D13+E12</f>
        <v>176256</v>
      </c>
      <c r="G13" s="2" t="n">
        <f aca="false">17*4*17</f>
        <v>1156</v>
      </c>
      <c r="H13" s="2" t="n">
        <f aca="false">17*2</f>
        <v>34</v>
      </c>
      <c r="I13" s="2" t="n">
        <v>1</v>
      </c>
      <c r="J13" s="2" t="n">
        <f aca="false">G13*H13*I13+J12</f>
        <v>132192</v>
      </c>
      <c r="L13" s="3"/>
      <c r="M13" s="3"/>
      <c r="N13" s="3"/>
      <c r="O13" s="3"/>
      <c r="P13" s="3"/>
    </row>
    <row r="14" customFormat="false" ht="15.75" hidden="false" customHeight="false" outlineLevel="0" collapsed="false">
      <c r="A14" s="0" t="s">
        <v>23</v>
      </c>
      <c r="B14" s="0" t="n">
        <v>4</v>
      </c>
      <c r="C14" s="0" t="n">
        <v>68</v>
      </c>
      <c r="D14" s="0" t="n">
        <v>68</v>
      </c>
      <c r="E14" s="0" t="n">
        <f aca="false">B14*C14*D14+E13</f>
        <v>194752</v>
      </c>
    </row>
    <row r="15" customFormat="false" ht="15.75" hidden="false" customHeight="false" outlineLevel="0" collapsed="false">
      <c r="A15" s="0" t="s">
        <v>24</v>
      </c>
      <c r="B15" s="0" t="n">
        <v>4</v>
      </c>
      <c r="C15" s="0" t="n">
        <v>68</v>
      </c>
      <c r="D15" s="0" t="n">
        <v>1156</v>
      </c>
      <c r="E15" s="0" t="n">
        <f aca="false">B15*C15*D15+E14</f>
        <v>509184</v>
      </c>
    </row>
    <row r="16" customFormat="false" ht="15.75" hidden="false" customHeight="false" outlineLevel="0" collapsed="false">
      <c r="A16" s="0" t="s">
        <v>25</v>
      </c>
      <c r="B16" s="0" t="n">
        <v>4</v>
      </c>
      <c r="C16" s="0" t="n">
        <v>1156</v>
      </c>
      <c r="D16" s="0" t="n">
        <v>4</v>
      </c>
      <c r="E16" s="0" t="n">
        <f aca="false">B16*C16*D16+E15</f>
        <v>527680</v>
      </c>
    </row>
    <row r="17" customFormat="false" ht="15.75" hidden="false" customHeight="false" outlineLevel="0" collapsed="false">
      <c r="A17" s="0" t="s">
        <v>26</v>
      </c>
      <c r="B17" s="0" t="n">
        <v>4</v>
      </c>
      <c r="C17" s="0" t="n">
        <v>1156</v>
      </c>
      <c r="D17" s="0" t="n">
        <v>68</v>
      </c>
      <c r="E17" s="0" t="n">
        <f aca="false">B17*C17*D17+E16</f>
        <v>842112</v>
      </c>
    </row>
    <row r="18" customFormat="false" ht="15.75" hidden="false" customHeight="false" outlineLevel="0" collapsed="false">
      <c r="A18" s="0" t="s">
        <v>27</v>
      </c>
      <c r="B18" s="0" t="n">
        <v>68</v>
      </c>
      <c r="C18" s="0" t="n">
        <v>68</v>
      </c>
      <c r="D18" s="0" t="n">
        <v>68</v>
      </c>
      <c r="E18" s="0" t="n">
        <f aca="false">B18*C18*D18+E17</f>
        <v>1156544</v>
      </c>
    </row>
    <row r="19" customFormat="false" ht="15.75" hidden="false" customHeight="false" outlineLevel="0" collapsed="false">
      <c r="A19" s="0" t="s">
        <v>28</v>
      </c>
      <c r="B19" s="0" t="n">
        <v>68</v>
      </c>
      <c r="C19" s="0" t="n">
        <v>68</v>
      </c>
      <c r="D19" s="0" t="n">
        <v>1156</v>
      </c>
      <c r="E19" s="0" t="n">
        <f aca="false">B19*C19*D19+E18</f>
        <v>6501888</v>
      </c>
    </row>
    <row r="20" customFormat="false" ht="15.75" hidden="false" customHeight="false" outlineLevel="0" collapsed="false">
      <c r="A20" s="0" t="s">
        <v>29</v>
      </c>
      <c r="B20" s="0" t="n">
        <v>68</v>
      </c>
      <c r="C20" s="0" t="n">
        <v>1156</v>
      </c>
      <c r="D20" s="0" t="n">
        <v>4</v>
      </c>
      <c r="E20" s="0" t="n">
        <f aca="false">B20*C20*D20+E19</f>
        <v>6816320</v>
      </c>
    </row>
    <row r="21" customFormat="false" ht="15.75" hidden="false" customHeight="false" outlineLevel="0" collapsed="false">
      <c r="A21" s="0" t="s">
        <v>30</v>
      </c>
      <c r="B21" s="0" t="n">
        <v>68</v>
      </c>
      <c r="C21" s="0" t="n">
        <v>1156</v>
      </c>
      <c r="D21" s="0" t="n">
        <v>68</v>
      </c>
      <c r="E21" s="0" t="n">
        <f aca="false">B21*C21*D21+E20</f>
        <v>12161664</v>
      </c>
    </row>
    <row r="22" customFormat="false" ht="15.75" hidden="false" customHeight="false" outlineLevel="0" collapsed="false">
      <c r="A22" s="0" t="s">
        <v>31</v>
      </c>
      <c r="B22" s="0" t="n">
        <v>68</v>
      </c>
      <c r="C22" s="0" t="n">
        <v>4</v>
      </c>
      <c r="D22" s="0" t="n">
        <v>68</v>
      </c>
      <c r="E22" s="0" t="n">
        <f aca="false">B22*C22*D22+E21</f>
        <v>12180160</v>
      </c>
    </row>
    <row r="23" customFormat="false" ht="15.75" hidden="false" customHeight="false" outlineLevel="0" collapsed="false">
      <c r="A23" s="0" t="s">
        <v>32</v>
      </c>
      <c r="B23" s="0" t="n">
        <v>68</v>
      </c>
      <c r="C23" s="0" t="n">
        <v>4</v>
      </c>
      <c r="D23" s="0" t="n">
        <v>1156</v>
      </c>
      <c r="E23" s="0" t="n">
        <f aca="false">B23*C23*D23+E22</f>
        <v>12494592</v>
      </c>
    </row>
    <row r="24" customFormat="false" ht="15.75" hidden="false" customHeight="false" outlineLevel="0" collapsed="false">
      <c r="A24" s="0" t="s">
        <v>33</v>
      </c>
      <c r="B24" s="0" t="n">
        <v>68</v>
      </c>
      <c r="C24" s="0" t="n">
        <v>68</v>
      </c>
      <c r="D24" s="0" t="n">
        <v>4</v>
      </c>
      <c r="E24" s="0" t="n">
        <f aca="false">B24*C24*D24+E23</f>
        <v>12513088</v>
      </c>
    </row>
    <row r="25" customFormat="false" ht="15.75" hidden="false" customHeight="false" outlineLevel="0" collapsed="false">
      <c r="A25" s="0" t="s">
        <v>34</v>
      </c>
      <c r="B25" s="0" t="n">
        <v>68</v>
      </c>
      <c r="C25" s="0" t="n">
        <v>68</v>
      </c>
      <c r="D25" s="0" t="n">
        <v>68</v>
      </c>
      <c r="E25" s="0" t="n">
        <f aca="false">B25*C25*D25+E24</f>
        <v>12827520</v>
      </c>
    </row>
    <row r="26" customFormat="false" ht="15.75" hidden="false" customHeight="false" outlineLevel="0" collapsed="false">
      <c r="A26" s="0" t="s">
        <v>35</v>
      </c>
      <c r="B26" s="0" t="n">
        <v>1156</v>
      </c>
      <c r="C26" s="0" t="n">
        <v>4</v>
      </c>
      <c r="D26" s="0" t="n">
        <v>68</v>
      </c>
      <c r="E26" s="0" t="n">
        <f aca="false">B26*C26*D26+E25</f>
        <v>13141952</v>
      </c>
    </row>
    <row r="27" customFormat="false" ht="15.75" hidden="false" customHeight="false" outlineLevel="0" collapsed="false">
      <c r="A27" s="0" t="s">
        <v>36</v>
      </c>
      <c r="B27" s="0" t="n">
        <v>1156</v>
      </c>
      <c r="C27" s="0" t="n">
        <v>4</v>
      </c>
      <c r="D27" s="0" t="n">
        <v>1156</v>
      </c>
      <c r="E27" s="0" t="n">
        <f aca="false">B27*C27*D27+E26</f>
        <v>18487296</v>
      </c>
    </row>
    <row r="28" customFormat="false" ht="15.75" hidden="false" customHeight="false" outlineLevel="0" collapsed="false">
      <c r="A28" s="0" t="s">
        <v>37</v>
      </c>
      <c r="B28" s="0" t="n">
        <v>1156</v>
      </c>
      <c r="C28" s="0" t="n">
        <v>68</v>
      </c>
      <c r="D28" s="0" t="n">
        <v>4</v>
      </c>
      <c r="E28" s="0" t="n">
        <f aca="false">B28*C28*D28+E27</f>
        <v>18801728</v>
      </c>
    </row>
    <row r="29" customFormat="false" ht="15.75" hidden="false" customHeight="false" outlineLevel="0" collapsed="false">
      <c r="A29" s="0" t="s">
        <v>38</v>
      </c>
      <c r="B29" s="0" t="n">
        <v>1156</v>
      </c>
      <c r="C29" s="0" t="n">
        <v>68</v>
      </c>
      <c r="D29" s="0" t="n">
        <v>68</v>
      </c>
      <c r="E29" s="0" t="n">
        <f aca="false">B29*C29*D29+E28</f>
        <v>24147072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E12" activeCellId="0" sqref="E12"/>
    </sheetView>
  </sheetViews>
  <sheetFormatPr defaultColWidth="10.5117187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39</v>
      </c>
      <c r="C1" s="1" t="s">
        <v>5</v>
      </c>
      <c r="D1" s="1" t="s">
        <v>40</v>
      </c>
      <c r="E1" s="1" t="s">
        <v>41</v>
      </c>
      <c r="F1" s="1" t="s">
        <v>42</v>
      </c>
    </row>
    <row r="2" customFormat="false" ht="15.75" hidden="false" customHeight="false" outlineLevel="0" collapsed="false">
      <c r="A2" s="2"/>
      <c r="B2" s="2" t="s">
        <v>11</v>
      </c>
      <c r="C2" s="2" t="s">
        <v>12</v>
      </c>
      <c r="D2" s="2" t="s">
        <v>13</v>
      </c>
      <c r="E2" s="2" t="s">
        <v>43</v>
      </c>
      <c r="F2" s="2" t="s">
        <v>44</v>
      </c>
      <c r="G2" s="2" t="s">
        <v>14</v>
      </c>
    </row>
    <row r="3" customFormat="false" ht="15.75" hidden="false" customHeight="false" outlineLevel="0" collapsed="false">
      <c r="A3" s="2" t="s">
        <v>9</v>
      </c>
      <c r="B3" s="2" t="n">
        <v>1</v>
      </c>
      <c r="C3" s="2" t="n">
        <v>1</v>
      </c>
      <c r="D3" s="2" t="n">
        <v>1</v>
      </c>
      <c r="E3" s="2" t="n">
        <v>8</v>
      </c>
      <c r="F3" s="2" t="n">
        <v>14</v>
      </c>
      <c r="G3" s="2" t="n">
        <f aca="false">B3*C3*D3*E3*F3</f>
        <v>112</v>
      </c>
    </row>
    <row r="4" customFormat="false" ht="15.75" hidden="false" customHeight="false" outlineLevel="0" collapsed="false">
      <c r="A4" s="2" t="s">
        <v>10</v>
      </c>
      <c r="B4" s="2" t="n">
        <v>1</v>
      </c>
      <c r="C4" s="2" t="n">
        <v>1</v>
      </c>
      <c r="D4" s="2" t="n">
        <v>14</v>
      </c>
      <c r="E4" s="2" t="n">
        <v>8</v>
      </c>
      <c r="F4" s="2" t="n">
        <v>14</v>
      </c>
      <c r="G4" s="2" t="n">
        <f aca="false">B4*C4*D4*E4*F4+G3</f>
        <v>1680</v>
      </c>
    </row>
    <row r="5" customFormat="false" ht="15.75" hidden="false" customHeight="false" outlineLevel="0" collapsed="false">
      <c r="A5" s="2" t="s">
        <v>45</v>
      </c>
      <c r="B5" s="2" t="n">
        <v>1</v>
      </c>
      <c r="C5" s="2" t="n">
        <v>8</v>
      </c>
      <c r="D5" s="2" t="n">
        <v>14</v>
      </c>
      <c r="E5" s="2" t="n">
        <v>8</v>
      </c>
      <c r="F5" s="2" t="n">
        <v>14</v>
      </c>
      <c r="G5" s="2" t="n">
        <f aca="false">B5*C5*D5*E5*F5+G4</f>
        <v>14224</v>
      </c>
    </row>
    <row r="6" customFormat="false" ht="15.75" hidden="false" customHeight="false" outlineLevel="0" collapsed="false">
      <c r="A6" s="2" t="s">
        <v>46</v>
      </c>
      <c r="B6" s="2" t="n">
        <v>14</v>
      </c>
      <c r="C6" s="2" t="n">
        <v>8</v>
      </c>
      <c r="D6" s="2" t="n">
        <v>14</v>
      </c>
      <c r="E6" s="2" t="n">
        <v>8</v>
      </c>
      <c r="F6" s="2" t="n">
        <v>14</v>
      </c>
      <c r="G6" s="2" t="n">
        <f aca="false">B6*C6*D6*E6*F6+G5</f>
        <v>189840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B13" activeCellId="0" sqref="B13"/>
    </sheetView>
  </sheetViews>
  <sheetFormatPr defaultColWidth="10.51171875" defaultRowHeight="15.75" zeroHeight="false" outlineLevelRow="0" outlineLevelCol="0"/>
  <sheetData>
    <row r="1" customFormat="false" ht="15.75" hidden="false" customHeight="false" outlineLevel="0" collapsed="false">
      <c r="A1" s="0" t="s">
        <v>15</v>
      </c>
      <c r="B1" s="0" t="n">
        <v>2</v>
      </c>
      <c r="C1" s="0" t="n">
        <v>28</v>
      </c>
      <c r="D1" s="0" t="n">
        <v>1</v>
      </c>
      <c r="E1" s="0" t="n">
        <f aca="false">B1*C1*D1*4</f>
        <v>224</v>
      </c>
    </row>
    <row r="2" customFormat="false" ht="15.75" hidden="false" customHeight="false" outlineLevel="0" collapsed="false">
      <c r="A2" s="0" t="s">
        <v>16</v>
      </c>
      <c r="B2" s="0" t="n">
        <v>2</v>
      </c>
      <c r="C2" s="0" t="n">
        <v>168</v>
      </c>
      <c r="D2" s="0" t="n">
        <v>1</v>
      </c>
      <c r="E2" s="0" t="n">
        <f aca="false">B2*C2*D2*4+E1</f>
        <v>1568</v>
      </c>
    </row>
    <row r="3" customFormat="false" ht="15.75" hidden="false" customHeight="false" outlineLevel="0" collapsed="false">
      <c r="A3" s="0" t="s">
        <v>17</v>
      </c>
      <c r="B3" s="0" t="n">
        <v>28</v>
      </c>
      <c r="C3" s="0" t="n">
        <v>28</v>
      </c>
      <c r="D3" s="0" t="n">
        <v>1</v>
      </c>
      <c r="E3" s="0" t="n">
        <f aca="false">B3*C3*D3*4+E2</f>
        <v>4704</v>
      </c>
    </row>
    <row r="4" customFormat="false" ht="15.75" hidden="false" customHeight="false" outlineLevel="0" collapsed="false">
      <c r="A4" s="0" t="s">
        <v>18</v>
      </c>
      <c r="B4" s="0" t="n">
        <v>28</v>
      </c>
      <c r="C4" s="0" t="n">
        <v>168</v>
      </c>
      <c r="D4" s="0" t="n">
        <v>1</v>
      </c>
      <c r="E4" s="0" t="n">
        <f aca="false">B4*C4*D4*4+E3</f>
        <v>23520</v>
      </c>
    </row>
    <row r="5" customFormat="false" ht="15.75" hidden="false" customHeight="false" outlineLevel="0" collapsed="false">
      <c r="A5" s="0" t="s">
        <v>23</v>
      </c>
      <c r="B5" s="0" t="n">
        <v>2</v>
      </c>
      <c r="C5" s="0" t="n">
        <v>28</v>
      </c>
      <c r="D5" s="0" t="n">
        <v>28</v>
      </c>
      <c r="E5" s="0" t="n">
        <f aca="false">B5*C5*D5*8+E4</f>
        <v>36064</v>
      </c>
    </row>
    <row r="6" customFormat="false" ht="15.75" hidden="false" customHeight="false" outlineLevel="0" collapsed="false">
      <c r="A6" s="0" t="s">
        <v>24</v>
      </c>
      <c r="B6" s="0" t="n">
        <v>2</v>
      </c>
      <c r="C6" s="0" t="n">
        <v>28</v>
      </c>
      <c r="D6" s="0" t="n">
        <v>168</v>
      </c>
      <c r="E6" s="0" t="n">
        <f aca="false">B6*C6*D6*8+E5</f>
        <v>111328</v>
      </c>
    </row>
    <row r="7" customFormat="false" ht="15.75" hidden="false" customHeight="false" outlineLevel="0" collapsed="false">
      <c r="A7" s="0" t="s">
        <v>27</v>
      </c>
      <c r="B7" s="0" t="n">
        <v>28</v>
      </c>
      <c r="C7" s="0" t="n">
        <v>28</v>
      </c>
      <c r="D7" s="0" t="n">
        <v>28</v>
      </c>
      <c r="E7" s="0" t="n">
        <f aca="false">B7*C7*D7*8+E6</f>
        <v>286944</v>
      </c>
    </row>
    <row r="8" customFormat="false" ht="15.75" hidden="false" customHeight="false" outlineLevel="0" collapsed="false">
      <c r="A8" s="0" t="s">
        <v>28</v>
      </c>
      <c r="B8" s="0" t="n">
        <v>28</v>
      </c>
      <c r="C8" s="0" t="n">
        <v>28</v>
      </c>
      <c r="D8" s="0" t="n">
        <v>168</v>
      </c>
      <c r="E8" s="0" t="n">
        <f aca="false">B8*C8*D8*8+E7</f>
        <v>1340640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2025-02-24T06:16:06Z</dcterms:created>
  <dc:creator>Ivy Zheng</dc:creator>
  <dc:description/>
  <dc:language>en-HK</dc:language>
  <cp:lastModifiedBy/>
  <dcterms:modified xsi:type="dcterms:W3CDTF">2025-12-12T09:24:05Z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